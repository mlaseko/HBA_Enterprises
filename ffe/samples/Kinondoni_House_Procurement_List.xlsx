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Shopping List" sheetId="2" state="visible" r:id="rId4"/>
    <sheet name="By Room" sheetId="3" state="visible" r:id="rId5"/>
    <sheet name="Rooms" sheetId="4" state="visible" r:id="rId6"/>
    <sheet name="Doors" sheetId="5" state="visible" r:id="rId7"/>
    <sheet name="Packing" sheetId="6" state="visible" r:id="rId8"/>
    <sheet name="Quality Guide" sheetId="7" state="visible" r:id="rId9"/>
    <sheet name="Lists" sheetId="8" state="hidden" r:id="rId10"/>
  </sheets>
  <definedNames>
    <definedName function="false" hidden="false" localSheetId="2" name="_xlnm.Print_Titles" vbProcedure="false">'By Room'!$7:$7</definedName>
    <definedName function="false" hidden="true" localSheetId="5" name="_xlnm._FilterDatabase" vbProcedure="false">Packing!$A$5:$M$305</definedName>
    <definedName function="false" hidden="true" localSheetId="1" name="_xlnm._FilterDatabase" vbProcedure="false">'Shopping List'!$A$4:$N$316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<sst xmlns="http://schemas.openxmlformats.org/spreadsheetml/2006/main" count="2263" uniqueCount="859">
  <si>
    <t xml:space="preserve">Kinondoni House - Finishing Procurement (China)</t>
  </si>
  <si>
    <t xml:space="preserve">Main house only. Doors are made locally (their hardware is on the list). Network/CCTV is not on this list.</t>
  </si>
  <si>
    <t xml:space="preserve">SET THESE TWO NUMBERS FIRST</t>
  </si>
  <si>
    <t xml:space="preserve">USD/CNY rate (CNY per 1 USD)</t>
  </si>
  <si>
    <t xml:space="preserve">Placeholder - update before trusting the USD totals.</t>
  </si>
  <si>
    <t xml:space="preserve">Extra tiles for cuts &amp; breakage</t>
  </si>
  <si>
    <t xml:space="preserve">Added to every tile quantity. 10-15% is normal; slabs break more and cannot be topped up later.</t>
  </si>
  <si>
    <t xml:space="preserve">THE SHEETS</t>
  </si>
  <si>
    <t xml:space="preserve">Shopping List</t>
  </si>
  <si>
    <t xml:space="preserve">Everything to buy, one line each. Fill in price, supplier and status (yellow). Use the filter arrows to see one category or one room.</t>
  </si>
  <si>
    <t xml:space="preserve">By Room</t>
  </si>
  <si>
    <t xml:space="preserve">Pick a room, print the page. The supplier packs against it; the site team checks the box against it.</t>
  </si>
  <si>
    <t xml:space="preserve">Rooms</t>
  </si>
  <si>
    <t xml:space="preserve">Room areas. Correct them after measuring on site - tile quantities update by themselves.</t>
  </si>
  <si>
    <t xml:space="preserve">Doors</t>
  </si>
  <si>
    <t xml:space="preserve">The 22 locally-made doors. Door hardware quantities update by themselves.</t>
  </si>
  <si>
    <t xml:space="preserve">Packing</t>
  </si>
  <si>
    <t xml:space="preserve">One line per box. The text to write on each box is created for you. Shows total volume and container size.</t>
  </si>
  <si>
    <t xml:space="preserve">Quality Guide</t>
  </si>
  <si>
    <t xml:space="preserve">What 'highest quality' means for each item, and where to buy in China.</t>
  </si>
  <si>
    <t xml:space="preserve">COLOURS</t>
  </si>
  <si>
    <t xml:space="preserve">Yellow = type here</t>
  </si>
  <si>
    <t xml:space="preserve">Black = calculated, do not type</t>
  </si>
  <si>
    <t xml:space="preserve">Grey italic = optional item</t>
  </si>
  <si>
    <t xml:space="preserve">TOTALS</t>
  </si>
  <si>
    <t xml:space="preserve">Items on the list</t>
  </si>
  <si>
    <t xml:space="preserve">Items with a price</t>
  </si>
  <si>
    <t xml:space="preserve">Total CNY</t>
  </si>
  <si>
    <t xml:space="preserve">Total USD</t>
  </si>
  <si>
    <t xml:space="preserve">   of which optional items (CNY)</t>
  </si>
  <si>
    <t xml:space="preserve">Items received at site</t>
  </si>
  <si>
    <t xml:space="preserve">Boxes packed / received</t>
  </si>
  <si>
    <t xml:space="preserve">By category</t>
  </si>
  <si>
    <t xml:space="preserve">Items</t>
  </si>
  <si>
    <t xml:space="preserve">Priced</t>
  </si>
  <si>
    <t xml:space="preserve">Received</t>
  </si>
  <si>
    <t xml:space="preserve">TOTAL</t>
  </si>
  <si>
    <t xml:space="preserve">STILL TO CONFIRM</t>
  </si>
  <si>
    <t xml:space="preserve">•  Cooking fuel: induction or gas (the hob is listed as induction).</t>
  </si>
  <si>
    <t xml:space="preserve">•  Water heaters are listed as optional (they are in the BOQ) - decide.</t>
  </si>
  <si>
    <t xml:space="preserve">•  Windows: sizes are BOQ sizes - re-measure every opening before ordering.</t>
  </si>
  <si>
    <t xml:space="preserve">•  Switches, sockets and downlights: counts are estimated from the ELEC drawings - electrician to count the boxes.</t>
  </si>
  <si>
    <t xml:space="preserve">•  Doors: 22 main-house doors listed - confirm with the carpenter's schedule.</t>
  </si>
  <si>
    <t xml:space="preserve">•  RO plant: test the borehole water first (TDS, chloride, hardness, iron) and give the result to the supplier.</t>
  </si>
  <si>
    <t xml:space="preserve">•  Tile areas are estimated from the drawings - measure each room before ordering.</t>
  </si>
  <si>
    <t xml:space="preserve">Yellow = type here (price, supplier, status). Black = calculated. Click the filter arrows on row 4 to see one category or one room. Add new items in the empty rows at the bottom.</t>
  </si>
  <si>
    <t xml:space="preserve">ID</t>
  </si>
  <si>
    <t xml:space="preserve">Room</t>
  </si>
  <si>
    <t xml:space="preserve">Category</t>
  </si>
  <si>
    <t xml:space="preserve">Item</t>
  </si>
  <si>
    <t xml:space="preserve">Must-have spec</t>
  </si>
  <si>
    <t xml:space="preserve">Size / Finish</t>
  </si>
  <si>
    <t xml:space="preserve">Qty</t>
  </si>
  <si>
    <t xml:space="preserve">Unit</t>
  </si>
  <si>
    <t xml:space="preserve">Price (CNY)</t>
  </si>
  <si>
    <t xml:space="preserve">Supplier</t>
  </si>
  <si>
    <t xml:space="preserve">Status</t>
  </si>
  <si>
    <t xml:space="preserve">Notes</t>
  </si>
  <si>
    <t xml:space="preserve">_</t>
  </si>
  <si>
    <t xml:space="preserve">GF-ENT-01</t>
  </si>
  <si>
    <t xml:space="preserve">GF-ENT - Entrance</t>
  </si>
  <si>
    <t xml:space="preserve">Tiles</t>
  </si>
  <si>
    <t xml:space="preserve">Floor - big porcelain slab (+ extra % for cuts)</t>
  </si>
  <si>
    <t xml:space="preserve">Porcelain slab, rectified, absorption &lt;0.5%, marble-look</t>
  </si>
  <si>
    <t xml:space="preserve">1200 x 2400 mm, satin finish</t>
  </si>
  <si>
    <t xml:space="preserve">m²</t>
  </si>
  <si>
    <t xml:space="preserve">To buy</t>
  </si>
  <si>
    <t xml:space="preserve">Qty follows the area on the Rooms sheet (estimated - measure on site)</t>
  </si>
  <si>
    <t xml:space="preserve">GF-HAL-01</t>
  </si>
  <si>
    <t xml:space="preserve">GF-HAL - Hall &amp; Corridors</t>
  </si>
  <si>
    <t xml:space="preserve">GF-LIV-01</t>
  </si>
  <si>
    <t xml:space="preserve">GF-LIV - Living Room</t>
  </si>
  <si>
    <t xml:space="preserve">GF-DIN-01</t>
  </si>
  <si>
    <t xml:space="preserve">GF-DIN - Dining</t>
  </si>
  <si>
    <t xml:space="preserve">GF-KIT-01</t>
  </si>
  <si>
    <t xml:space="preserve">GF-KIT - Kitchen</t>
  </si>
  <si>
    <t xml:space="preserve">GF-KIT-02</t>
  </si>
  <si>
    <t xml:space="preserve">Kitchen backsplash slab (+ extra %)</t>
  </si>
  <si>
    <t xml:space="preserve">Sintered stone or porcelain slab matching worktop</t>
  </si>
  <si>
    <t xml:space="preserve">1200 x 2400 mm</t>
  </si>
  <si>
    <t xml:space="preserve">Qty follows Rooms sheet</t>
  </si>
  <si>
    <t xml:space="preserve">GF-PAN-01</t>
  </si>
  <si>
    <t xml:space="preserve">GF-PAN - Walk-in Pantry</t>
  </si>
  <si>
    <t xml:space="preserve">GF-STR-01</t>
  </si>
  <si>
    <t xml:space="preserve">GF-STR - Store Room</t>
  </si>
  <si>
    <t xml:space="preserve">GF-OFF-01</t>
  </si>
  <si>
    <t xml:space="preserve">GF-OFF - Home Office</t>
  </si>
  <si>
    <t xml:space="preserve">GF-PRY-01</t>
  </si>
  <si>
    <t xml:space="preserve">GF-PRY - Prayer Room</t>
  </si>
  <si>
    <t xml:space="preserve">GF-GBR-01</t>
  </si>
  <si>
    <t xml:space="preserve">GF-GBR - Guest Bedroom</t>
  </si>
  <si>
    <t xml:space="preserve">GF-GBA-01</t>
  </si>
  <si>
    <t xml:space="preserve">GF-GBA - Guest Bathroom</t>
  </si>
  <si>
    <t xml:space="preserve">Bathroom floor - anti-slip (+ extra %)</t>
  </si>
  <si>
    <t xml:space="preserve">Porcelain R11 anti-slip, matt</t>
  </si>
  <si>
    <t xml:space="preserve">600 x 1200 mm, matt</t>
  </si>
  <si>
    <t xml:space="preserve">GF-GBA-02</t>
  </si>
  <si>
    <t xml:space="preserve">Bathroom walls - full-height slab (+ extra %)</t>
  </si>
  <si>
    <t xml:space="preserve">Porcelain wall slab, floor to ceiling</t>
  </si>
  <si>
    <t xml:space="preserve">1200 x 2400 mm, satin</t>
  </si>
  <si>
    <t xml:space="preserve">Qty follows Rooms sheet (perimeter x 2.7 m)</t>
  </si>
  <si>
    <t xml:space="preserve">GF-PWC-01</t>
  </si>
  <si>
    <t xml:space="preserve">GF-PWC - Public WC</t>
  </si>
  <si>
    <t xml:space="preserve">GF-PWC-02</t>
  </si>
  <si>
    <t xml:space="preserve">GF-VER-01</t>
  </si>
  <si>
    <t xml:space="preserve">GF-VER - Kitchen Verandah</t>
  </si>
  <si>
    <t xml:space="preserve">Heavy-duty outdoor floor 20 mm (+ extra %)</t>
  </si>
  <si>
    <t xml:space="preserve">20 mm porcelain R11, car-load strength</t>
  </si>
  <si>
    <t xml:space="preserve">600 x 1200 x 20 mm, dark grey</t>
  </si>
  <si>
    <t xml:space="preserve">Dark grey to match charcoal driveway pavers</t>
  </si>
  <si>
    <t xml:space="preserve">GF-PRK-01</t>
  </si>
  <si>
    <t xml:space="preserve">GF-PRK - Carport</t>
  </si>
  <si>
    <t xml:space="preserve">GF-STA-01</t>
  </si>
  <si>
    <t xml:space="preserve">GF-STA - Stairs Ground to First</t>
  </si>
  <si>
    <t xml:space="preserve">Stair treads with anti-slip nosing</t>
  </si>
  <si>
    <t xml:space="preserve">Porcelain step tread, grooved nosing, same colour as floor</t>
  </si>
  <si>
    <t xml:space="preserve">1200 x 330 mm</t>
  </si>
  <si>
    <t xml:space="preserve">pcs</t>
  </si>
  <si>
    <t xml:space="preserve">21 treads + 3 spare</t>
  </si>
  <si>
    <t xml:space="preserve">GF-STA-02</t>
  </si>
  <si>
    <t xml:space="preserve">Stair risers</t>
  </si>
  <si>
    <t xml:space="preserve">Porcelain riser matching tread</t>
  </si>
  <si>
    <t xml:space="preserve">1200 x 160 mm</t>
  </si>
  <si>
    <t xml:space="preserve">22 risers + 3 spare</t>
  </si>
  <si>
    <t xml:space="preserve">GF-STA-03</t>
  </si>
  <si>
    <t xml:space="preserve">Stair landings (cut from floor slab)</t>
  </si>
  <si>
    <t xml:space="preserve">Same slab as floors</t>
  </si>
  <si>
    <t xml:space="preserve">Assumed - measure landings</t>
  </si>
  <si>
    <t xml:space="preserve">FF-LND-01</t>
  </si>
  <si>
    <t xml:space="preserve">FF-LND - Landing &amp; Corridor</t>
  </si>
  <si>
    <t xml:space="preserve">FF-MBR-01</t>
  </si>
  <si>
    <t xml:space="preserve">FF-MBR - Master Bedroom</t>
  </si>
  <si>
    <t xml:space="preserve">FF-MBA-01</t>
  </si>
  <si>
    <t xml:space="preserve">FF-MBA - Master Bathroom</t>
  </si>
  <si>
    <t xml:space="preserve">FF-MBA-02</t>
  </si>
  <si>
    <t xml:space="preserve">FF-CLO-01</t>
  </si>
  <si>
    <t xml:space="preserve">FF-CLO - Master Closet</t>
  </si>
  <si>
    <t xml:space="preserve">FF-BR1-01</t>
  </si>
  <si>
    <t xml:space="preserve">FF-BR1 - Bedroom 1</t>
  </si>
  <si>
    <t xml:space="preserve">FF-BA1-01</t>
  </si>
  <si>
    <t xml:space="preserve">FF-BA1 - Bathroom 1</t>
  </si>
  <si>
    <t xml:space="preserve">FF-BA1-02</t>
  </si>
  <si>
    <t xml:space="preserve">FF-BR2-01</t>
  </si>
  <si>
    <t xml:space="preserve">FF-BR2 - Bedroom 2</t>
  </si>
  <si>
    <t xml:space="preserve">FF-BA2-01</t>
  </si>
  <si>
    <t xml:space="preserve">FF-BA2 - Bathroom 2</t>
  </si>
  <si>
    <t xml:space="preserve">FF-BA2-02</t>
  </si>
  <si>
    <t xml:space="preserve">FF-BR3-01</t>
  </si>
  <si>
    <t xml:space="preserve">FF-BR3 - Bedroom 3</t>
  </si>
  <si>
    <t xml:space="preserve">FF-BA3-01</t>
  </si>
  <si>
    <t xml:space="preserve">FF-BA3 - Bathroom 3</t>
  </si>
  <si>
    <t xml:space="preserve">FF-BA3-02</t>
  </si>
  <si>
    <t xml:space="preserve">FF-FAM-01</t>
  </si>
  <si>
    <t xml:space="preserve">FF-FAM - Family Lounge</t>
  </si>
  <si>
    <t xml:space="preserve">FF-BAL-01</t>
  </si>
  <si>
    <t xml:space="preserve">FF-BAL - Balconies (all 4)</t>
  </si>
  <si>
    <t xml:space="preserve">Outdoor floor 20 mm (+ extra %)</t>
  </si>
  <si>
    <t xml:space="preserve">20 mm porcelain, R11, UV stable</t>
  </si>
  <si>
    <t xml:space="preserve">600 x 1200 x 20 mm, stone-look</t>
  </si>
  <si>
    <t xml:space="preserve">FF-STA-01</t>
  </si>
  <si>
    <t xml:space="preserve">FF-STA - Stairs First to Roof</t>
  </si>
  <si>
    <t xml:space="preserve">FF-STA-02</t>
  </si>
  <si>
    <t xml:space="preserve">FF-STA-03</t>
  </si>
  <si>
    <t xml:space="preserve">RF-GYM-01</t>
  </si>
  <si>
    <t xml:space="preserve">RF-GYM - Gym</t>
  </si>
  <si>
    <t xml:space="preserve">Gym floor - matt anti-slip (+ extra %)</t>
  </si>
  <si>
    <t xml:space="preserve">Porcelain R10 matt (rubber mats under weights - buy locally)</t>
  </si>
  <si>
    <t xml:space="preserve">600 x 1200 mm</t>
  </si>
  <si>
    <t xml:space="preserve">RF-WC-01</t>
  </si>
  <si>
    <t xml:space="preserve">RF-WC - Roof WC</t>
  </si>
  <si>
    <t xml:space="preserve">RF-WC-02</t>
  </si>
  <si>
    <t xml:space="preserve">RF-LOB-01</t>
  </si>
  <si>
    <t xml:space="preserve">RF-LOB - Roof Lobby</t>
  </si>
  <si>
    <t xml:space="preserve">RF-TER-01</t>
  </si>
  <si>
    <t xml:space="preserve">RF-TER - Roof Terrace (Phase II)</t>
  </si>
  <si>
    <t xml:space="preserve">Outdoor floor 20 mm - terrace (optional)</t>
  </si>
  <si>
    <t xml:space="preserve">20 mm porcelain R11; can sit on pedestals later</t>
  </si>
  <si>
    <t xml:space="preserve">600 x 1200 x 20 mm</t>
  </si>
  <si>
    <t xml:space="preserve">Phase II - only if budget allows (same batch as balconies)</t>
  </si>
  <si>
    <t xml:space="preserve">ALL-01</t>
  </si>
  <si>
    <t xml:space="preserve">ALL - Whole house</t>
  </si>
  <si>
    <t xml:space="preserve">Skirting for all floors</t>
  </si>
  <si>
    <t xml:space="preserve">Porcelain skirting matching floor slab (or cut from offcuts on site)</t>
  </si>
  <si>
    <t xml:space="preserve">1200 x 100 mm</t>
  </si>
  <si>
    <t xml:space="preserve">lm</t>
  </si>
  <si>
    <t xml:space="preserve">Assumed 310 lm + 10%</t>
  </si>
  <si>
    <t xml:space="preserve">GF-DIN-02</t>
  </si>
  <si>
    <t xml:space="preserve">Sanitary</t>
  </si>
  <si>
    <t xml:space="preserve">Dining hand-wash basin on small cabinet + mixer</t>
  </si>
  <si>
    <t xml:space="preserve">Ceramic/sintered basin; mixer SUS316L stainless body (not 304, not zinc, not plated brass), ceramic cartridge, PVD finish</t>
  </si>
  <si>
    <t xml:space="preserve">600 x 450 mm</t>
  </si>
  <si>
    <t xml:space="preserve">set</t>
  </si>
  <si>
    <t xml:space="preserve">Shown on drawing A-104</t>
  </si>
  <si>
    <t xml:space="preserve">GF-GBA-03</t>
  </si>
  <si>
    <t xml:space="preserve">Wall-hung WC + concealed cistern &amp; frame + flush plate</t>
  </si>
  <si>
    <t xml:space="preserve">Rimless, soft-close seat; dual flush 3/6 L; plastic/stainless cistern internals (no brass)</t>
  </si>
  <si>
    <t xml:space="preserve">White; plate to match fixtures</t>
  </si>
  <si>
    <t xml:space="preserve">Frame goes in BEFORE wall tiling</t>
  </si>
  <si>
    <t xml:space="preserve">GF-GBA-04</t>
  </si>
  <si>
    <t xml:space="preserve">Floating vanity with basin</t>
  </si>
  <si>
    <t xml:space="preserve">No particleboard/MDF - aluminium honeycomb, stainless or E0 marine-ply carcass; Blum/Hettich soft-close; sintered stone top</t>
  </si>
  <si>
    <t xml:space="preserve">800-1000 mm (measure wall)</t>
  </si>
  <si>
    <t xml:space="preserve">GF-GBA-05</t>
  </si>
  <si>
    <t xml:space="preserve">Basin mixer</t>
  </si>
  <si>
    <t xml:space="preserve">SUS316L stainless body (not 304, not zinc, not plated brass), ceramic cartridge, PVD finish</t>
  </si>
  <si>
    <t xml:space="preserve">Single lever, deck-mounted</t>
  </si>
  <si>
    <t xml:space="preserve">GF-GBA-06</t>
  </si>
  <si>
    <t xml:space="preserve">Concealed thermostatic shower (rain head + hand shower)</t>
  </si>
  <si>
    <t xml:space="preserve">SUS316L stainless body (not 304, not zinc, not plated brass), ceramic cartridge, PVD finish; box embedded before tiling</t>
  </si>
  <si>
    <t xml:space="preserve">300 mm rain head</t>
  </si>
  <si>
    <t xml:space="preserve">Chase wall before tiling</t>
  </si>
  <si>
    <t xml:space="preserve">GF-GBA-07</t>
  </si>
  <si>
    <t xml:space="preserve">Walk-in shower glass screen</t>
  </si>
  <si>
    <t xml:space="preserve">10 mm tempered, easy-clean coating, SUS316 clamps</t>
  </si>
  <si>
    <t xml:space="preserve">900-1200 x 2000 mm</t>
  </si>
  <si>
    <t xml:space="preserve">Confirm size</t>
  </si>
  <si>
    <t xml:space="preserve">GF-GBA-08</t>
  </si>
  <si>
    <t xml:space="preserve">Drains: linear shower drain 800 mm + floor drain</t>
  </si>
  <si>
    <t xml:space="preserve">SUS316L, tile-insert grates, anti-odour</t>
  </si>
  <si>
    <t xml:space="preserve">800 mm + 110 x 110 mm</t>
  </si>
  <si>
    <t xml:space="preserve">GF-GBA-09</t>
  </si>
  <si>
    <t xml:space="preserve">Electric water heater 80 L (optional)</t>
  </si>
  <si>
    <t xml:space="preserve">Titanium-enamel or glass-lined tank, magnesium anode + spares, 2 kW</t>
  </si>
  <si>
    <t xml:space="preserve">80 L</t>
  </si>
  <si>
    <t xml:space="preserve">In the BOQ - confirm. Salty water kills cheap tanks</t>
  </si>
  <si>
    <t xml:space="preserve">GF-GBA-10</t>
  </si>
  <si>
    <t xml:space="preserve">Bidet hand spray (shattaf) + 3 angle valves</t>
  </si>
  <si>
    <t xml:space="preserve">1.2 m hose</t>
  </si>
  <si>
    <t xml:space="preserve">GF-GBA-11</t>
  </si>
  <si>
    <t xml:space="preserve">LED anti-fog mirror</t>
  </si>
  <si>
    <t xml:space="preserve">Touch switch, demister, IP44</t>
  </si>
  <si>
    <t xml:space="preserve">800x800</t>
  </si>
  <si>
    <t xml:space="preserve">GF-GBA-12</t>
  </si>
  <si>
    <t xml:space="preserve">Accessory set (towel rail, hooks, roll holder)</t>
  </si>
  <si>
    <t xml:space="preserve">Solid SUS316</t>
  </si>
  <si>
    <t xml:space="preserve">Match fixtures finish</t>
  </si>
  <si>
    <t xml:space="preserve">GF-PWC-03</t>
  </si>
  <si>
    <t xml:space="preserve">GF-PWC-04</t>
  </si>
  <si>
    <t xml:space="preserve">Compact wall-hung basin + SUS316 bottle trap</t>
  </si>
  <si>
    <t xml:space="preserve">Ceramic</t>
  </si>
  <si>
    <t xml:space="preserve">500 x 350 mm</t>
  </si>
  <si>
    <t xml:space="preserve">GF-PWC-05</t>
  </si>
  <si>
    <t xml:space="preserve">GF-PWC-06</t>
  </si>
  <si>
    <t xml:space="preserve">Floor drain</t>
  </si>
  <si>
    <t xml:space="preserve">SUS316L grate &amp; body, anti-odour</t>
  </si>
  <si>
    <t xml:space="preserve">110 x 110 mm</t>
  </si>
  <si>
    <t xml:space="preserve">GF-PWC-07</t>
  </si>
  <si>
    <t xml:space="preserve">GF-PWC-08</t>
  </si>
  <si>
    <t xml:space="preserve">600x800</t>
  </si>
  <si>
    <t xml:space="preserve">GF-PWC-09</t>
  </si>
  <si>
    <t xml:space="preserve">FF-MBA-03</t>
  </si>
  <si>
    <t xml:space="preserve">FF-MBA-04</t>
  </si>
  <si>
    <t xml:space="preserve">Double floating vanity with 2 basins</t>
  </si>
  <si>
    <t xml:space="preserve">1500 x 500 mm</t>
  </si>
  <si>
    <t xml:space="preserve">FF-MBA-05</t>
  </si>
  <si>
    <t xml:space="preserve">Basin mixers</t>
  </si>
  <si>
    <t xml:space="preserve">FF-MBA-06</t>
  </si>
  <si>
    <t xml:space="preserve">Built-in acrylic bathtub + bath filler with hand shower</t>
  </si>
  <si>
    <t xml:space="preserve">Reinforced acrylic; filler SUS316L stainless body (not 304, not zinc, not plated brass), ceramic cartridge, PVD finish</t>
  </si>
  <si>
    <t xml:space="preserve">1700 x 750 mm</t>
  </si>
  <si>
    <t xml:space="preserve">Check alcove size on site</t>
  </si>
  <si>
    <t xml:space="preserve">FF-MBA-07</t>
  </si>
  <si>
    <t xml:space="preserve">FF-MBA-08</t>
  </si>
  <si>
    <t xml:space="preserve">FF-MBA-09</t>
  </si>
  <si>
    <t xml:space="preserve">FF-MBA-10</t>
  </si>
  <si>
    <t xml:space="preserve">FF-MBA-11</t>
  </si>
  <si>
    <t xml:space="preserve">FF-MBA-12</t>
  </si>
  <si>
    <t xml:space="preserve">1500x800</t>
  </si>
  <si>
    <t xml:space="preserve">FF-MBA-13</t>
  </si>
  <si>
    <t xml:space="preserve">FF-BA1-03</t>
  </si>
  <si>
    <t xml:space="preserve">FF-BA1-04</t>
  </si>
  <si>
    <t xml:space="preserve">FF-BA1-05</t>
  </si>
  <si>
    <t xml:space="preserve">FF-BA1-06</t>
  </si>
  <si>
    <t xml:space="preserve">FF-BA1-07</t>
  </si>
  <si>
    <t xml:space="preserve">FF-BA1-08</t>
  </si>
  <si>
    <t xml:space="preserve">FF-BA1-09</t>
  </si>
  <si>
    <t xml:space="preserve">FF-BA1-10</t>
  </si>
  <si>
    <t xml:space="preserve">FF-BA1-11</t>
  </si>
  <si>
    <t xml:space="preserve">FF-BA1-12</t>
  </si>
  <si>
    <t xml:space="preserve">FF-BA2-03</t>
  </si>
  <si>
    <t xml:space="preserve">FF-BA2-04</t>
  </si>
  <si>
    <t xml:space="preserve">FF-BA2-05</t>
  </si>
  <si>
    <t xml:space="preserve">FF-BA2-06</t>
  </si>
  <si>
    <t xml:space="preserve">FF-BA2-07</t>
  </si>
  <si>
    <t xml:space="preserve">FF-BA2-08</t>
  </si>
  <si>
    <t xml:space="preserve">FF-BA2-09</t>
  </si>
  <si>
    <t xml:space="preserve">FF-BA2-10</t>
  </si>
  <si>
    <t xml:space="preserve">FF-BA2-11</t>
  </si>
  <si>
    <t xml:space="preserve">FF-BA2-12</t>
  </si>
  <si>
    <t xml:space="preserve">FF-BA3-03</t>
  </si>
  <si>
    <t xml:space="preserve">FF-BA3-04</t>
  </si>
  <si>
    <t xml:space="preserve">FF-BA3-05</t>
  </si>
  <si>
    <t xml:space="preserve">FF-BA3-06</t>
  </si>
  <si>
    <t xml:space="preserve">FF-BA3-07</t>
  </si>
  <si>
    <t xml:space="preserve">FF-BA3-08</t>
  </si>
  <si>
    <t xml:space="preserve">FF-BA3-09</t>
  </si>
  <si>
    <t xml:space="preserve">FF-BA3-10</t>
  </si>
  <si>
    <t xml:space="preserve">FF-BA3-11</t>
  </si>
  <si>
    <t xml:space="preserve">FF-BA3-12</t>
  </si>
  <si>
    <t xml:space="preserve">RF-WC-03</t>
  </si>
  <si>
    <t xml:space="preserve">RF-WC-04</t>
  </si>
  <si>
    <t xml:space="preserve">RF-WC-05</t>
  </si>
  <si>
    <t xml:space="preserve">RF-WC-06</t>
  </si>
  <si>
    <t xml:space="preserve">RF-WC-07</t>
  </si>
  <si>
    <t xml:space="preserve">RF-WC-08</t>
  </si>
  <si>
    <t xml:space="preserve">RF-WC-09</t>
  </si>
  <si>
    <t xml:space="preserve">GF-ENT-02</t>
  </si>
  <si>
    <t xml:space="preserve">Lighting</t>
  </si>
  <si>
    <t xml:space="preserve">Outdoor wall light at entrance</t>
  </si>
  <si>
    <t xml:space="preserve">IP65 die-cast aluminium, marine powder coat</t>
  </si>
  <si>
    <t xml:space="preserve">Match window frame colour</t>
  </si>
  <si>
    <t xml:space="preserve">GF-LIV-02</t>
  </si>
  <si>
    <t xml:space="preserve">Chandelier / feature pendant</t>
  </si>
  <si>
    <t xml:space="preserve">LED, dimmable; check ceiling fixing</t>
  </si>
  <si>
    <t xml:space="preserve">Designer to select</t>
  </si>
  <si>
    <t xml:space="preserve">GF-DIN-03</t>
  </si>
  <si>
    <t xml:space="preserve">Chandelier over dining table</t>
  </si>
  <si>
    <t xml:space="preserve">LED, dimmable</t>
  </si>
  <si>
    <t xml:space="preserve">GF-KIT-03</t>
  </si>
  <si>
    <t xml:space="preserve">Pendants over island (optional)</t>
  </si>
  <si>
    <t xml:space="preserve">LED</t>
  </si>
  <si>
    <t xml:space="preserve">Only if a ceiling point exists over the island</t>
  </si>
  <si>
    <t xml:space="preserve">GF-KIT-04</t>
  </si>
  <si>
    <t xml:space="preserve">Under-cabinet LED strip + profile + driver</t>
  </si>
  <si>
    <t xml:space="preserve">24V, CRI&gt;90, aluminium profile with diffuser</t>
  </si>
  <si>
    <t xml:space="preserve">3000K</t>
  </si>
  <si>
    <t xml:space="preserve">m</t>
  </si>
  <si>
    <t xml:space="preserve">FF-MBR-02</t>
  </si>
  <si>
    <t xml:space="preserve">FF-FAM-02</t>
  </si>
  <si>
    <t xml:space="preserve">RF-TER-02</t>
  </si>
  <si>
    <t xml:space="preserve">Outdoor wall lights - terrace (optional)</t>
  </si>
  <si>
    <t xml:space="preserve">Phase II</t>
  </si>
  <si>
    <t xml:space="preserve">ALL-02</t>
  </si>
  <si>
    <t xml:space="preserve">LED downlights - warm white 3000K (living, bedrooms, corridors)</t>
  </si>
  <si>
    <t xml:space="preserve">CRI&gt;90, flicker-free driver, anti-glare, 220-240V 50Hz</t>
  </si>
  <si>
    <t xml:space="preserve">10-12 W, white trim</t>
  </si>
  <si>
    <t xml:space="preserve">Approx. 75 points on ELEC drawings + spares - electrician to confirm</t>
  </si>
  <si>
    <t xml:space="preserve">ALL-03</t>
  </si>
  <si>
    <t xml:space="preserve">LED downlights - 4000K (kitchen, pantry, store, office, gym)</t>
  </si>
  <si>
    <t xml:space="preserve">Approx. 20 points + spares</t>
  </si>
  <si>
    <t xml:space="preserve">ALL-04</t>
  </si>
  <si>
    <t xml:space="preserve">LED downlights - IP65 (bathrooms, balconies, carport, verandah, roof lobby)</t>
  </si>
  <si>
    <t xml:space="preserve">CRI&gt;90, flicker-free driver, anti-glare, 220-240V 50Hz; IP65 aluminium body</t>
  </si>
  <si>
    <t xml:space="preserve">10 W, 3000K</t>
  </si>
  <si>
    <t xml:space="preserve">Approx. 29 points + spares</t>
  </si>
  <si>
    <t xml:space="preserve">ALL-05</t>
  </si>
  <si>
    <t xml:space="preserve">Cove LED strip for gypsum ceilings (optional)</t>
  </si>
  <si>
    <t xml:space="preserve">24V, CRI&gt;90, dimmable driver</t>
  </si>
  <si>
    <t xml:space="preserve">Living + master - only if the ceiling design has a cove</t>
  </si>
  <si>
    <t xml:space="preserve">ALL-06</t>
  </si>
  <si>
    <t xml:space="preserve">Stair step lights (optional)</t>
  </si>
  <si>
    <t xml:space="preserve">Recessed, 220-240V or 24V</t>
  </si>
  <si>
    <t xml:space="preserve">Only if points were wired</t>
  </si>
  <si>
    <t xml:space="preserve">ALL-07</t>
  </si>
  <si>
    <t xml:space="preserve">Windows</t>
  </si>
  <si>
    <t xml:space="preserve">Sliding window 2500 x 2950 mm</t>
  </si>
  <si>
    <t xml:space="preserve">Double glazed: Thermal-break aluminium &gt;=1.4 mm, coastal powder coat, SUS316 hardware, 6 Low-E + 12 + 6 mm tempered, mosquito mesh</t>
  </si>
  <si>
    <t xml:space="preserve">Matte anthracite RAL 7016</t>
  </si>
  <si>
    <t xml:space="preserve">Living room x2, family lounge x2. BOQ size - RE-MEASURE every opening</t>
  </si>
  <si>
    <t xml:space="preserve">ALL-08</t>
  </si>
  <si>
    <t xml:space="preserve">Sliding window 2500 x 2300 mm</t>
  </si>
  <si>
    <t xml:space="preserve">Dining, guest bedroom, master, bedrooms 1-3. BOQ size - RE-MEASURE every opening</t>
  </si>
  <si>
    <t xml:space="preserve">ALL-09</t>
  </si>
  <si>
    <t xml:space="preserve">Sliding window 2000 x 2000 mm</t>
  </si>
  <si>
    <t xml:space="preserve">Home office, prayer room. BOQ size - RE-MEASURE every opening</t>
  </si>
  <si>
    <t xml:space="preserve">ALL-10</t>
  </si>
  <si>
    <t xml:space="preserve">Sliding window 1500 x 3000 mm</t>
  </si>
  <si>
    <t xml:space="preserve">Stair hall. BOQ size - RE-MEASURE every opening</t>
  </si>
  <si>
    <t xml:space="preserve">ALL-11</t>
  </si>
  <si>
    <t xml:space="preserve">Sliding window 1500 x 1000 mm</t>
  </si>
  <si>
    <t xml:space="preserve">Kitchen, landing. BOQ size - RE-MEASURE every opening</t>
  </si>
  <si>
    <t xml:space="preserve">ALL-12</t>
  </si>
  <si>
    <t xml:space="preserve">Sliding window 900 x 2300 mm</t>
  </si>
  <si>
    <t xml:space="preserve">Master closet. BOQ size - RE-MEASURE every opening</t>
  </si>
  <si>
    <t xml:space="preserve">ALL-13</t>
  </si>
  <si>
    <t xml:space="preserve">Bathroom window 1000 x 1000 mm - obscure glass</t>
  </si>
  <si>
    <t xml:space="preserve">Double glazed: Thermal-break aluminium &gt;=1.4 mm, coastal powder coat, SUS316 hardware, 6 Low-E + 12 + 6 mm tempered, mosquito mesh; frosted inner pane</t>
  </si>
  <si>
    <t xml:space="preserve">Guest bath, public WC, master bath, bathrooms 1-3. RE-MEASURE</t>
  </si>
  <si>
    <t xml:space="preserve">ALL-14</t>
  </si>
  <si>
    <t xml:space="preserve">Switches &amp; Sockets</t>
  </si>
  <si>
    <t xml:space="preserve">Light switch 1-gang 1-way</t>
  </si>
  <si>
    <t xml:space="preserve">UK standard (BS 1363 / BS 5733), 86x86 mm plate for UK back box, screwless metal, 220-240V</t>
  </si>
  <si>
    <t xml:space="preserve">One range house-wide - matte black or brushed steel</t>
  </si>
  <si>
    <t xml:space="preserve">Estimated from ELEC drawings + spares - electrician to count the boxes</t>
  </si>
  <si>
    <t xml:space="preserve">ALL-15</t>
  </si>
  <si>
    <t xml:space="preserve">Light switch 1-gang 2-way</t>
  </si>
  <si>
    <t xml:space="preserve">ALL-16</t>
  </si>
  <si>
    <t xml:space="preserve">Light switch 2-gang 1-way</t>
  </si>
  <si>
    <t xml:space="preserve">ALL-17</t>
  </si>
  <si>
    <t xml:space="preserve">Light switch 2-gang 2-way</t>
  </si>
  <si>
    <t xml:space="preserve">ALL-18</t>
  </si>
  <si>
    <t xml:space="preserve">Light switch 3-gang 1-way</t>
  </si>
  <si>
    <t xml:space="preserve">ALL-19</t>
  </si>
  <si>
    <t xml:space="preserve">Light switch 3-gang 2-way</t>
  </si>
  <si>
    <t xml:space="preserve">ALL-20</t>
  </si>
  <si>
    <t xml:space="preserve">13A twin switched socket</t>
  </si>
  <si>
    <t xml:space="preserve">ALL-21</t>
  </si>
  <si>
    <t xml:space="preserve">13A twin socket with USB-A + USB-C</t>
  </si>
  <si>
    <t xml:space="preserve">ALL-22</t>
  </si>
  <si>
    <t xml:space="preserve">Outdoor IP66 twin socket</t>
  </si>
  <si>
    <t xml:space="preserve">IP66 lockable lid, UV-stable, UK 13A</t>
  </si>
  <si>
    <t xml:space="preserve">IP66 grey/black</t>
  </si>
  <si>
    <t xml:space="preserve">ALL-23</t>
  </si>
  <si>
    <t xml:space="preserve">Shaver socket</t>
  </si>
  <si>
    <t xml:space="preserve">ALL-24</t>
  </si>
  <si>
    <t xml:space="preserve">20A DP water-heater switch with neon</t>
  </si>
  <si>
    <t xml:space="preserve">ALL-25</t>
  </si>
  <si>
    <t xml:space="preserve">45A DP cooker switch with neon</t>
  </si>
  <si>
    <t xml:space="preserve">ALL-26</t>
  </si>
  <si>
    <t xml:space="preserve">13A switched fused spur (hood, dishwasher, fridge)</t>
  </si>
  <si>
    <t xml:space="preserve">ALL-27</t>
  </si>
  <si>
    <t xml:space="preserve">TV + data combo plate</t>
  </si>
  <si>
    <t xml:space="preserve">ALL-28</t>
  </si>
  <si>
    <t xml:space="preserve">Blank plates</t>
  </si>
  <si>
    <t xml:space="preserve">DOORS-01</t>
  </si>
  <si>
    <t xml:space="preserve">DOORS - All doors</t>
  </si>
  <si>
    <t xml:space="preserve">Door Hardware</t>
  </si>
  <si>
    <t xml:space="preserve">Hinges - ball bearing SUS316 (4 per door)</t>
  </si>
  <si>
    <t xml:space="preserve">Ball-bearing butt hinge EN 1935 Grade 13, solid SUS316 with SUS316 screws</t>
  </si>
  <si>
    <t xml:space="preserve">102 x 76 x 3 mm</t>
  </si>
  <si>
    <t xml:space="preserve">Qty follows the Doors sheet</t>
  </si>
  <si>
    <t xml:space="preserve">DOORS-02</t>
  </si>
  <si>
    <t xml:space="preserve">Entrance handle set + security mortise sashlock</t>
  </si>
  <si>
    <t xml:space="preserve">Solid SUS316, PVD finish; EN 12209 Grade 3 lock case with deadbolt, 60 mm backset</t>
  </si>
  <si>
    <t xml:space="preserve">Euro 72 mm</t>
  </si>
  <si>
    <t xml:space="preserve">DOORS-03</t>
  </si>
  <si>
    <t xml:space="preserve">External door handle set + mortise lock, keyed</t>
  </si>
  <si>
    <t xml:space="preserve">Solid SUS316, PVD finish; EN 12209 Grade 3 lock case</t>
  </si>
  <si>
    <t xml:space="preserve">Verandah + roof terrace</t>
  </si>
  <si>
    <t xml:space="preserve">DOORS-04</t>
  </si>
  <si>
    <t xml:space="preserve">Bedroom handle set + magnetic lock (privacy turn inside, key outside)</t>
  </si>
  <si>
    <t xml:space="preserve">Solid SUS316, PVD finish; silent magnetic latch; emergency release</t>
  </si>
  <si>
    <t xml:space="preserve">DOORS-05</t>
  </si>
  <si>
    <t xml:space="preserve">Bathroom handle set + magnetic lock with occupied indicator</t>
  </si>
  <si>
    <t xml:space="preserve">Euro</t>
  </si>
  <si>
    <t xml:space="preserve">DOORS-06</t>
  </si>
  <si>
    <t xml:space="preserve">Keyed room handle set + magnetic mortise lock</t>
  </si>
  <si>
    <t xml:space="preserve">Solid SUS316, PVD finish; silent magnetic latch</t>
  </si>
  <si>
    <t xml:space="preserve">Home office</t>
  </si>
  <si>
    <t xml:space="preserve">DOORS-07</t>
  </si>
  <si>
    <t xml:space="preserve">Passage handle set + magnetic latch (no key)</t>
  </si>
  <si>
    <t xml:space="preserve">DOORS-08</t>
  </si>
  <si>
    <t xml:space="preserve">Security Euro cylinders, master-keyed</t>
  </si>
  <si>
    <t xml:space="preserve">EN 1303 Grade 6 anti-snap/drill/bump, registered key profile</t>
  </si>
  <si>
    <t xml:space="preserve">Turn inside, key outside</t>
  </si>
  <si>
    <t xml:space="preserve">All on one master-key plan</t>
  </si>
  <si>
    <t xml:space="preserve">DOORS-09</t>
  </si>
  <si>
    <t xml:space="preserve">Master-key system (owner key opens all, room keys separate)</t>
  </si>
  <si>
    <t xml:space="preserve">Key plan by the cylinder supplier; 3 master keys + 2 keys per door</t>
  </si>
  <si>
    <t xml:space="preserve">-</t>
  </si>
  <si>
    <t xml:space="preserve">Give supplier the Doors sheet</t>
  </si>
  <si>
    <t xml:space="preserve">DOORS-10</t>
  </si>
  <si>
    <t xml:space="preserve">Smart lock for entrance (optional)</t>
  </si>
  <si>
    <t xml:space="preserve">Fingerprint + keypad + key override, timber-door mortise type, SUS316 front</t>
  </si>
  <si>
    <t xml:space="preserve">To suit 45-50 mm door</t>
  </si>
  <si>
    <t xml:space="preserve">Recommended - confirm it fits the stile</t>
  </si>
  <si>
    <t xml:space="preserve">DOORS-11</t>
  </si>
  <si>
    <t xml:space="preserve">Digital door viewer (entrance)</t>
  </si>
  <si>
    <t xml:space="preserve">Camera viewer with inside screen</t>
  </si>
  <si>
    <t xml:space="preserve">DOORS-12</t>
  </si>
  <si>
    <t xml:space="preserve">Concealed door closer, adjustable, hold-open</t>
  </si>
  <si>
    <t xml:space="preserve">EN 1154 size 2-5, mortised in door top, backcheck + delayed action (Dormakaba / GEZE)</t>
  </si>
  <si>
    <t xml:space="preserve">Carpenter mortises - buy BEFORE doors are made</t>
  </si>
  <si>
    <t xml:space="preserve">DOORS-13</t>
  </si>
  <si>
    <t xml:space="preserve">Automatic drop-down bottom seal (every door)</t>
  </si>
  <si>
    <t xml:space="preserve">Mortised in door bottom, drops on closing (Planet / Athmer type)</t>
  </si>
  <si>
    <t xml:space="preserve">Cut to door width</t>
  </si>
  <si>
    <t xml:space="preserve">Carpenter grooves the door bottom</t>
  </si>
  <si>
    <t xml:space="preserve">DOORS-14</t>
  </si>
  <si>
    <t xml:space="preserve">Perimeter weather seal (entrance + external doors)</t>
  </si>
  <si>
    <t xml:space="preserve">Silicone/EPDM kerf-in or adhesive, 3 sides</t>
  </si>
  <si>
    <t xml:space="preserve">Per door</t>
  </si>
  <si>
    <t xml:space="preserve">DOORS-15</t>
  </si>
  <si>
    <t xml:space="preserve">Acoustic perimeter seal (bedroom doors)</t>
  </si>
  <si>
    <t xml:space="preserve">Silicone kerf-in or adhesive, 3 sides</t>
  </si>
  <si>
    <t xml:space="preserve">Quiet bedrooms</t>
  </si>
  <si>
    <t xml:space="preserve">DOORS-16</t>
  </si>
  <si>
    <t xml:space="preserve">Floor door stops</t>
  </si>
  <si>
    <t xml:space="preserve">SUS316 with replaceable rubber</t>
  </si>
  <si>
    <t xml:space="preserve">Low profile</t>
  </si>
  <si>
    <t xml:space="preserve">DOORS-17</t>
  </si>
  <si>
    <t xml:space="preserve">Magnetic door holders (hold-open)</t>
  </si>
  <si>
    <t xml:space="preserve">SUS316, floor or wall mounted</t>
  </si>
  <si>
    <t xml:space="preserve">Kitchen, pantry, closet, gym</t>
  </si>
  <si>
    <t xml:space="preserve">DOORS-18</t>
  </si>
  <si>
    <t xml:space="preserve">Rubber door silencers (3 per door)</t>
  </si>
  <si>
    <t xml:space="preserve">Push-in frame silencers</t>
  </si>
  <si>
    <t xml:space="preserve">GF-KIT-05</t>
  </si>
  <si>
    <t xml:space="preserve">Kitchen</t>
  </si>
  <si>
    <t xml:space="preserve">Base cabinets - L-shape run</t>
  </si>
  <si>
    <t xml:space="preserve">No particleboard/MDF - aluminium honeycomb, stainless or E0 marine-ply carcass; Blum/Hettich soft-close</t>
  </si>
  <si>
    <t xml:space="preserve">2000 + 4840 mm runs, 600 deep, 900 high</t>
  </si>
  <si>
    <t xml:space="preserve">Supplier works from drawing A-101 - confirm sink &amp; hob positions</t>
  </si>
  <si>
    <t xml:space="preserve">GF-KIT-06</t>
  </si>
  <si>
    <t xml:space="preserve">Wall cabinets</t>
  </si>
  <si>
    <t xml:space="preserve">Per layout, 720-900 high</t>
  </si>
  <si>
    <t xml:space="preserve">GF-KIT-07</t>
  </si>
  <si>
    <t xml:space="preserve">Tall units (oven/microwave column + fridge housing)</t>
  </si>
  <si>
    <t xml:space="preserve">Per layout, ~2400 high</t>
  </si>
  <si>
    <t xml:space="preserve">Size to chosen appliances</t>
  </si>
  <si>
    <t xml:space="preserve">GF-KIT-08</t>
  </si>
  <si>
    <t xml:space="preserve">Island cabinet with seating overhang</t>
  </si>
  <si>
    <t xml:space="preserve">2300 x 915 mm (consider 2400 x 1000)</t>
  </si>
  <si>
    <t xml:space="preserve">GF-KIT-09</t>
  </si>
  <si>
    <t xml:space="preserve">Sintered stone worktop (run + island)</t>
  </si>
  <si>
    <t xml:space="preserve">12-20 mm, mitred edges, cut-outs for sink &amp; hob</t>
  </si>
  <si>
    <t xml:space="preserve">~7 m²</t>
  </si>
  <si>
    <t xml:space="preserve">Template on site recommended</t>
  </si>
  <si>
    <t xml:space="preserve">GF-KIT-10</t>
  </si>
  <si>
    <t xml:space="preserve">Island bar stools</t>
  </si>
  <si>
    <t xml:space="preserve">Counter height, seat ~650 mm</t>
  </si>
  <si>
    <t xml:space="preserve">GF-KIT-11</t>
  </si>
  <si>
    <t xml:space="preserve">Under-mount double-bowl sink + pull-down mixer</t>
  </si>
  <si>
    <t xml:space="preserve">Sink SUS304 1.2 mm handmade (SUS316 if offered); mixer SUS316L stainless body (not 304, not zinc, not plated brass), ceramic cartridge, PVD finish</t>
  </si>
  <si>
    <t xml:space="preserve">~860 x 450 mm, PVD gunmetal</t>
  </si>
  <si>
    <t xml:space="preserve">GF-KIT-12</t>
  </si>
  <si>
    <t xml:space="preserve">Built-in hob 90 cm</t>
  </si>
  <si>
    <t xml:space="preserve">220-240V 50Hz, UK plug or hard-wired; confirm local service/warranty; induction 5-zone (or gas - CONFIRM)</t>
  </si>
  <si>
    <t xml:space="preserve">90 cm, black glass</t>
  </si>
  <si>
    <t xml:space="preserve">Cooking fuel not yet confirmed</t>
  </si>
  <si>
    <t xml:space="preserve">GF-KIT-13</t>
  </si>
  <si>
    <t xml:space="preserve">Chimney cooker hood 90 cm</t>
  </si>
  <si>
    <t xml:space="preserve">220-240V 50Hz, UK plug or hard-wired; confirm local service/warranty; ducted outside, &gt;=1000 m³/h</t>
  </si>
  <si>
    <t xml:space="preserve">90 cm</t>
  </si>
  <si>
    <t xml:space="preserve">Check duct route</t>
  </si>
  <si>
    <t xml:space="preserve">GF-KIT-14</t>
  </si>
  <si>
    <t xml:space="preserve">Built-in oven 60 cm</t>
  </si>
  <si>
    <t xml:space="preserve">220-240V 50Hz, UK plug or hard-wired; confirm local service/warranty; multifunction 70 L+</t>
  </si>
  <si>
    <t xml:space="preserve">60 cm, black glass</t>
  </si>
  <si>
    <t xml:space="preserve">GF-KIT-15</t>
  </si>
  <si>
    <t xml:space="preserve">Built-in microwave / combi-steam oven 45 cm</t>
  </si>
  <si>
    <t xml:space="preserve">220-240V 50Hz, UK plug or hard-wired; confirm local service/warranty</t>
  </si>
  <si>
    <t xml:space="preserve">45 cm, match oven</t>
  </si>
  <si>
    <t xml:space="preserve">GF-KIT-16</t>
  </si>
  <si>
    <t xml:space="preserve">Built-in dishwasher 60 cm</t>
  </si>
  <si>
    <t xml:space="preserve">220-240V 50Hz, UK plug or hard-wired; confirm local service/warranty; 14 place settings</t>
  </si>
  <si>
    <t xml:space="preserve">60 cm, integrated</t>
  </si>
  <si>
    <t xml:space="preserve">Feed from RO water</t>
  </si>
  <si>
    <t xml:space="preserve">GF-KIT-17</t>
  </si>
  <si>
    <t xml:space="preserve">Refrigerator - French door</t>
  </si>
  <si>
    <t xml:space="preserve">220-240V 50Hz, UK plug or hard-wired; confirm local service/warranty; inverter, tropical class</t>
  </si>
  <si>
    <t xml:space="preserve">~900 mm wide</t>
  </si>
  <si>
    <t xml:space="preserve">Consider buying locally for warranty</t>
  </si>
  <si>
    <t xml:space="preserve">GF-PAN-02</t>
  </si>
  <si>
    <t xml:space="preserve">Pantry tall cabinets / shelving</t>
  </si>
  <si>
    <t xml:space="preserve">No particleboard/MDF - aluminium honeycomb, stainless or E0 marine-ply carcass; Blum/Hettich soft-close; adjustable shelves</t>
  </si>
  <si>
    <t xml:space="preserve">Room 1.70 x 3.80 m</t>
  </si>
  <si>
    <t xml:space="preserve">GF-DIN-04</t>
  </si>
  <si>
    <t xml:space="preserve">Dining</t>
  </si>
  <si>
    <t xml:space="preserve">Dining table, 8 seats</t>
  </si>
  <si>
    <t xml:space="preserve">Sintered stone top, steel or solid-wood base</t>
  </si>
  <si>
    <t xml:space="preserve">2400 x 1100 mm</t>
  </si>
  <si>
    <t xml:space="preserve">Room 7.73 x 3.72 m</t>
  </si>
  <si>
    <t xml:space="preserve">GF-DIN-05</t>
  </si>
  <si>
    <t xml:space="preserve">Dining chairs</t>
  </si>
  <si>
    <t xml:space="preserve">Performance fabric or leather</t>
  </si>
  <si>
    <t xml:space="preserve">GF-DIN-06</t>
  </si>
  <si>
    <t xml:space="preserve">Sideboard / buffet</t>
  </si>
  <si>
    <t xml:space="preserve">Moisture-resistant carcass</t>
  </si>
  <si>
    <t xml:space="preserve">1800-2200 mm</t>
  </si>
  <si>
    <t xml:space="preserve">GF-DIN-07</t>
  </si>
  <si>
    <t xml:space="preserve">Curtains + motorised track (optional)</t>
  </si>
  <si>
    <t xml:space="preserve">Blackout + sheer, 220-240V motor</t>
  </si>
  <si>
    <t xml:space="preserve">Per window</t>
  </si>
  <si>
    <t xml:space="preserve">GF-LIV-03</t>
  </si>
  <si>
    <t xml:space="preserve">Living Room</t>
  </si>
  <si>
    <t xml:space="preserve">L-shaped corner sofa</t>
  </si>
  <si>
    <t xml:space="preserve">Leather or performance fabric, kiln-dried hardwood frame</t>
  </si>
  <si>
    <t xml:space="preserve">~3200 x 2600 mm</t>
  </si>
  <si>
    <t xml:space="preserve">Per drawing A-104</t>
  </si>
  <si>
    <t xml:space="preserve">GF-LIV-04</t>
  </si>
  <si>
    <t xml:space="preserve">Accent lounge chairs</t>
  </si>
  <si>
    <t xml:space="preserve">Upholstered</t>
  </si>
  <si>
    <t xml:space="preserve">GF-LIV-05</t>
  </si>
  <si>
    <t xml:space="preserve">Coffee table + 2 side tables</t>
  </si>
  <si>
    <t xml:space="preserve">Sintered stone or marble tops</t>
  </si>
  <si>
    <t xml:space="preserve">~1300 x 700 mm + 500 mm</t>
  </si>
  <si>
    <t xml:space="preserve">GF-LIV-06</t>
  </si>
  <si>
    <t xml:space="preserve">TV console / media unit</t>
  </si>
  <si>
    <t xml:space="preserve">Floating or low console, cable management</t>
  </si>
  <si>
    <t xml:space="preserve">~2400 mm</t>
  </si>
  <si>
    <t xml:space="preserve">TV wall per A-104</t>
  </si>
  <si>
    <t xml:space="preserve">GF-LIV-07</t>
  </si>
  <si>
    <t xml:space="preserve">Area rug</t>
  </si>
  <si>
    <t xml:space="preserve">Low pile, washable</t>
  </si>
  <si>
    <t xml:space="preserve">3000 x 4000 mm</t>
  </si>
  <si>
    <t xml:space="preserve">GF-LIV-08</t>
  </si>
  <si>
    <t xml:space="preserve">FF-MBR-03</t>
  </si>
  <si>
    <t xml:space="preserve">Master Bedroom</t>
  </si>
  <si>
    <t xml:space="preserve">King bed frame with upholstered headboard - custom length</t>
  </si>
  <si>
    <t xml:space="preserve">Solid slats; MUST fit 1930 x 2130 mm mattress</t>
  </si>
  <si>
    <t xml:space="preserve">For mattress 1930 x 2130 mm</t>
  </si>
  <si>
    <t xml:space="preserve">Write the size in mm on the order</t>
  </si>
  <si>
    <t xml:space="preserve">FF-MBR-04</t>
  </si>
  <si>
    <t xml:space="preserve">Mattress - pocket spring + latex, custom</t>
  </si>
  <si>
    <t xml:space="preserve">Pocket spring, natural latex layer</t>
  </si>
  <si>
    <t xml:space="preserve">1930 x 2130 x 300 mm</t>
  </si>
  <si>
    <t xml:space="preserve">Vacuum-rolled saves space</t>
  </si>
  <si>
    <t xml:space="preserve">FF-MBR-05</t>
  </si>
  <si>
    <t xml:space="preserve">Bedding sets - custom size</t>
  </si>
  <si>
    <t xml:space="preserve">Fitted sheet, duvet, pillows for 1930 x 2130 x 300</t>
  </si>
  <si>
    <t xml:space="preserve">1930 x 2130 mm</t>
  </si>
  <si>
    <t xml:space="preserve">Standard sheets will not fit 7 ft</t>
  </si>
  <si>
    <t xml:space="preserve">FF-MBR-06</t>
  </si>
  <si>
    <t xml:space="preserve">Bedside tables</t>
  </si>
  <si>
    <t xml:space="preserve">With drawers</t>
  </si>
  <si>
    <t xml:space="preserve">~550 mm</t>
  </si>
  <si>
    <t xml:space="preserve">FF-MBR-07</t>
  </si>
  <si>
    <t xml:space="preserve">Dresser / vanity + stool</t>
  </si>
  <si>
    <t xml:space="preserve">~1200 mm</t>
  </si>
  <si>
    <t xml:space="preserve">FF-MBR-08</t>
  </si>
  <si>
    <t xml:space="preserve">Bed-end bench</t>
  </si>
  <si>
    <t xml:space="preserve">~1600 mm</t>
  </si>
  <si>
    <t xml:space="preserve">FF-MBR-09</t>
  </si>
  <si>
    <t xml:space="preserve">Lounge chair + side table (optional)</t>
  </si>
  <si>
    <t xml:space="preserve">FF-MBR-10</t>
  </si>
  <si>
    <t xml:space="preserve">Low pile</t>
  </si>
  <si>
    <t xml:space="preserve">2400 x 3000 mm</t>
  </si>
  <si>
    <t xml:space="preserve">FF-MBR-11</t>
  </si>
  <si>
    <t xml:space="preserve">FF-CLO-02</t>
  </si>
  <si>
    <t xml:space="preserve">Walk-in closet system (hanging, drawers, shoe racks, LED)</t>
  </si>
  <si>
    <t xml:space="preserve">No particleboard/MDF - aluminium honeycomb, stainless or E0 marine-ply carcass; Blum/Hettich soft-close; sensor LED strips</t>
  </si>
  <si>
    <t xml:space="preserve">3.00 x 3.00 m room, ~2400 high</t>
  </si>
  <si>
    <t xml:space="preserve">Send drawing A-102 to supplier</t>
  </si>
  <si>
    <t xml:space="preserve">WATER-01</t>
  </si>
  <si>
    <t xml:space="preserve">WATER - RO plant</t>
  </si>
  <si>
    <t xml:space="preserve">Water Treatment (RO)</t>
  </si>
  <si>
    <t xml:space="preserve">RO unit 1000 L/h, brackish water</t>
  </si>
  <si>
    <t xml:space="preserve">SS316 high-pressure pump (Grundfos/CNP), 4-6 x 4040 BW membranes (DuPont/Toray), SS316 housings, PLC + conductivity meter, auto-flush, pressure protection</t>
  </si>
  <si>
    <t xml:space="preserve">1000 L/h, 380V 3-phase</t>
  </si>
  <si>
    <t xml:space="preserve">Size only after the raw-water lab test</t>
  </si>
  <si>
    <t xml:space="preserve">WATER-02</t>
  </si>
  <si>
    <t xml:space="preserve">Raw-water booster pump</t>
  </si>
  <si>
    <t xml:space="preserve">Stainless</t>
  </si>
  <si>
    <t xml:space="preserve">To suit plant</t>
  </si>
  <si>
    <t xml:space="preserve">WATER-03</t>
  </si>
  <si>
    <t xml:space="preserve">Sand filter + carbon filter, auto backwash</t>
  </si>
  <si>
    <t xml:space="preserve">FRP vessels + automatic valves</t>
  </si>
  <si>
    <t xml:space="preserve">To suit 1500-2000 L/h feed</t>
  </si>
  <si>
    <t xml:space="preserve">WATER-04</t>
  </si>
  <si>
    <t xml:space="preserve">Antiscalant dosing system</t>
  </si>
  <si>
    <t xml:space="preserve">Dosing pump + tank</t>
  </si>
  <si>
    <t xml:space="preserve">WATER-05</t>
  </si>
  <si>
    <t xml:space="preserve">Water softener (optional)</t>
  </si>
  <si>
    <t xml:space="preserve">FRP vessel + brine tank, auto regeneration</t>
  </si>
  <si>
    <t xml:space="preserve">To suit feed</t>
  </si>
  <si>
    <t xml:space="preserve">Only if lab test shows high hardness</t>
  </si>
  <si>
    <t xml:space="preserve">WATER-06</t>
  </si>
  <si>
    <t xml:space="preserve">5-micron cartridge filter housing</t>
  </si>
  <si>
    <t xml:space="preserve">SS316</t>
  </si>
  <si>
    <t xml:space="preserve">20 inch</t>
  </si>
  <si>
    <t xml:space="preserve">WATER-07</t>
  </si>
  <si>
    <t xml:space="preserve">UV steriliser + remineralisation filter (after RO)</t>
  </si>
  <si>
    <t xml:space="preserve">SS316 UV chamber; calcite media vessel</t>
  </si>
  <si>
    <t xml:space="preserve">To suit 1000 L/h</t>
  </si>
  <si>
    <t xml:space="preserve">RO water is corrosive without remineralisation</t>
  </si>
  <si>
    <t xml:space="preserve">WATER-08</t>
  </si>
  <si>
    <t xml:space="preserve">Product-water pump to roof tanks</t>
  </si>
  <si>
    <t xml:space="preserve">Stainless, with pressure/level control</t>
  </si>
  <si>
    <t xml:space="preserve">To suit head to roof</t>
  </si>
  <si>
    <t xml:space="preserve">WATER-09</t>
  </si>
  <si>
    <t xml:space="preserve">Spares: 2 membranes, 50 cartridges, 12 months chemicals, TDS meter</t>
  </si>
  <si>
    <t xml:space="preserve">Same models as installed</t>
  </si>
  <si>
    <t xml:space="preserve">ALL-29</t>
  </si>
  <si>
    <t xml:space="preserve">Tools &amp; Spares</t>
  </si>
  <si>
    <t xml:space="preserve">Tile levelling clips + wedges</t>
  </si>
  <si>
    <t xml:space="preserve">Re-usable wedges; clips for 6-12 mm tiles</t>
  </si>
  <si>
    <t xml:space="preserve">1.5 mm joint</t>
  </si>
  <si>
    <t xml:space="preserve">About 10 per slab</t>
  </si>
  <si>
    <t xml:space="preserve">ALL-30</t>
  </si>
  <si>
    <t xml:space="preserve">Tile edge trims / corner profiles</t>
  </si>
  <si>
    <t xml:space="preserve">Anodised aluminium or SUS316, 2.5 m</t>
  </si>
  <si>
    <t xml:space="preserve">10 mm</t>
  </si>
  <si>
    <t xml:space="preserve">ALL-31</t>
  </si>
  <si>
    <t xml:space="preserve">Slab suction lifter + carrying frame</t>
  </si>
  <si>
    <t xml:space="preserve">For 1200 x 2400 slabs</t>
  </si>
  <si>
    <t xml:space="preserve">Essential</t>
  </si>
  <si>
    <t xml:space="preserve">ALL-32</t>
  </si>
  <si>
    <t xml:space="preserve">Spare mixer cartridges &amp; aerators</t>
  </si>
  <si>
    <t xml:space="preserve">Same brand as the mixers</t>
  </si>
  <si>
    <t xml:space="preserve">Hard to find locally</t>
  </si>
  <si>
    <t xml:space="preserve">ALL-33</t>
  </si>
  <si>
    <t xml:space="preserve">Spare handle set + 8 spare hinges</t>
  </si>
  <si>
    <t xml:space="preserve">Same models as above</t>
  </si>
  <si>
    <t xml:space="preserve">By Room - choose a room, print the page</t>
  </si>
  <si>
    <t xml:space="preserve">Give it to the supplier to pack against, and to the site team when the box for that room arrives.</t>
  </si>
  <si>
    <t xml:space="preserve">Room:</t>
  </si>
  <si>
    <t xml:space="preserve">Items:</t>
  </si>
  <si>
    <t xml:space="preserve">Total CNY:</t>
  </si>
  <si>
    <t xml:space="preserve">Total USD:</t>
  </si>
  <si>
    <t xml:space="preserve">Received:</t>
  </si>
  <si>
    <t xml:space="preserve">#</t>
  </si>
  <si>
    <t xml:space="preserve">Tile quantities on the Shopping List follow the areas here. Areas are estimated from the drawings - correct them after measuring on site.</t>
  </si>
  <si>
    <t xml:space="preserve">Floor</t>
  </si>
  <si>
    <t xml:space="preserve">Floor area m²</t>
  </si>
  <si>
    <t xml:space="preserve">Wall tile m²</t>
  </si>
  <si>
    <t xml:space="preserve">Ground</t>
  </si>
  <si>
    <t xml:space="preserve">Main door</t>
  </si>
  <si>
    <t xml:space="preserve">Central corridor, stair hall</t>
  </si>
  <si>
    <t xml:space="preserve">6.00 x 4.70 m, TV wall</t>
  </si>
  <si>
    <t xml:space="preserve">7.73 x 3.72 m, 8 seats</t>
  </si>
  <si>
    <t xml:space="preserve">5.80 x 3.80 m, L-shape + island; wall m² = backsplash</t>
  </si>
  <si>
    <t xml:space="preserve">1.70 x 3.80 m</t>
  </si>
  <si>
    <t xml:space="preserve">1.50 x 3.80 m</t>
  </si>
  <si>
    <t xml:space="preserve">4.27 x 3.80 m</t>
  </si>
  <si>
    <t xml:space="preserve">Shower + WC + basin</t>
  </si>
  <si>
    <t xml:space="preserve">WC + basin</t>
  </si>
  <si>
    <t xml:space="preserve">Outdoor</t>
  </si>
  <si>
    <t xml:space="preserve">2 cars</t>
  </si>
  <si>
    <t xml:space="preserve">22 risers, 21 treads</t>
  </si>
  <si>
    <t xml:space="preserve">First</t>
  </si>
  <si>
    <t xml:space="preserve">6.00 x 4.70 m</t>
  </si>
  <si>
    <t xml:space="preserve">Bathtub + shower + double basin</t>
  </si>
  <si>
    <t xml:space="preserve">3.00 x 3.00 m walk-in</t>
  </si>
  <si>
    <t xml:space="preserve">Tiles only</t>
  </si>
  <si>
    <t xml:space="preserve">Master 7.7 + front 12.0 + bedroom-1 9.0 + shared 6.8</t>
  </si>
  <si>
    <t xml:space="preserve">Roof</t>
  </si>
  <si>
    <t xml:space="preserve">Covered area outside gym</t>
  </si>
  <si>
    <t xml:space="preserve">Optional - Phase II</t>
  </si>
  <si>
    <t xml:space="preserve">All</t>
  </si>
  <si>
    <t xml:space="preserve">Items for the whole house (switches, lights, spares)</t>
  </si>
  <si>
    <t xml:space="preserve">Hardware for the locally-made doors - see Doors sheet</t>
  </si>
  <si>
    <t xml:space="preserve">Outside</t>
  </si>
  <si>
    <t xml:space="preserve">Water treatment near borehole</t>
  </si>
  <si>
    <t xml:space="preserve">Doors - the locally-made doors</t>
  </si>
  <si>
    <t xml:space="preserve">Door hardware quantities on the Shopping List follow this table.</t>
  </si>
  <si>
    <t xml:space="preserve">Doors:</t>
  </si>
  <si>
    <t xml:space="preserve">Door</t>
  </si>
  <si>
    <t xml:space="preserve">Door type</t>
  </si>
  <si>
    <t xml:space="preserve">Size W x H (mm)</t>
  </si>
  <si>
    <t xml:space="preserve">Stop / Holder</t>
  </si>
  <si>
    <t xml:space="preserve">D01</t>
  </si>
  <si>
    <t xml:space="preserve">Entrance</t>
  </si>
  <si>
    <t xml:space="preserve">1200 x 2700</t>
  </si>
  <si>
    <t xml:space="preserve">Floor stop</t>
  </si>
  <si>
    <t xml:space="preserve">Main front door</t>
  </si>
  <si>
    <t xml:space="preserve">D02</t>
  </si>
  <si>
    <t xml:space="preserve">Passage</t>
  </si>
  <si>
    <t xml:space="preserve">800 x 2700</t>
  </si>
  <si>
    <t xml:space="preserve">Magnetic holder</t>
  </si>
  <si>
    <t xml:space="preserve">D03</t>
  </si>
  <si>
    <t xml:space="preserve">D04</t>
  </si>
  <si>
    <t xml:space="preserve">D05</t>
  </si>
  <si>
    <t xml:space="preserve">Keyed</t>
  </si>
  <si>
    <t xml:space="preserve">Network room - lockable</t>
  </si>
  <si>
    <t xml:space="preserve">D06</t>
  </si>
  <si>
    <t xml:space="preserve">D07</t>
  </si>
  <si>
    <t xml:space="preserve">Bedroom</t>
  </si>
  <si>
    <t xml:space="preserve">900 x 2700</t>
  </si>
  <si>
    <t xml:space="preserve">D08</t>
  </si>
  <si>
    <t xml:space="preserve">Bathroom</t>
  </si>
  <si>
    <t xml:space="preserve">D09</t>
  </si>
  <si>
    <t xml:space="preserve">D10</t>
  </si>
  <si>
    <t xml:space="preserve">External</t>
  </si>
  <si>
    <t xml:space="preserve">800 x 2500</t>
  </si>
  <si>
    <t xml:space="preserve">Kitchen to verandah</t>
  </si>
  <si>
    <t xml:space="preserve">D11</t>
  </si>
  <si>
    <t xml:space="preserve">D12</t>
  </si>
  <si>
    <t xml:space="preserve">D13</t>
  </si>
  <si>
    <t xml:space="preserve">D14</t>
  </si>
  <si>
    <t xml:space="preserve">D15</t>
  </si>
  <si>
    <t xml:space="preserve">D16</t>
  </si>
  <si>
    <t xml:space="preserve">D17</t>
  </si>
  <si>
    <t xml:space="preserve">D18</t>
  </si>
  <si>
    <t xml:space="preserve">D19</t>
  </si>
  <si>
    <t xml:space="preserve">D20</t>
  </si>
  <si>
    <t xml:space="preserve">D21</t>
  </si>
  <si>
    <t xml:space="preserve">D22</t>
  </si>
  <si>
    <t xml:space="preserve">Door to roof terrace</t>
  </si>
  <si>
    <t xml:space="preserve">Door types - Entrance: security lock, closer, viewer. External: keyed, closer, weather seal. Bedroom: privacy turn inside, key outside. Bathroom: occupied indicator. Keyed: lockable room. Passage: latch only.</t>
  </si>
  <si>
    <t xml:space="preserve">Packing - one line per box</t>
  </si>
  <si>
    <t xml:space="preserve">Supplier fills this before loading: supplier name, room, what is inside, box size. The text to write on the box is created for you. Tick Received when the box arrives.</t>
  </si>
  <si>
    <t xml:space="preserve">Boxes:</t>
  </si>
  <si>
    <t xml:space="preserve">Total CBM:</t>
  </si>
  <si>
    <t xml:space="preserve">Container:</t>
  </si>
  <si>
    <t xml:space="preserve">Box</t>
  </si>
  <si>
    <t xml:space="preserve">WRITE THIS ON THE BOX</t>
  </si>
  <si>
    <t xml:space="preserve">What is inside</t>
  </si>
  <si>
    <t xml:space="preserve">Item IDs</t>
  </si>
  <si>
    <t xml:space="preserve">L cm</t>
  </si>
  <si>
    <t xml:space="preserve">W cm</t>
  </si>
  <si>
    <t xml:space="preserve">H cm</t>
  </si>
  <si>
    <t xml:space="preserve">CBM</t>
  </si>
  <si>
    <t xml:space="preserve">kg</t>
  </si>
  <si>
    <t xml:space="preserve">Received?</t>
  </si>
  <si>
    <t xml:space="preserve">Foshan Tile Co.</t>
  </si>
  <si>
    <t xml:space="preserve">(Example) Floor slab 1200x2400, 2 pieces</t>
  </si>
  <si>
    <t xml:space="preserve">N</t>
  </si>
  <si>
    <t xml:space="preserve">Example - overwrite</t>
  </si>
  <si>
    <t xml:space="preserve">Quality Guide - what 'highest quality' means for each item</t>
  </si>
  <si>
    <t xml:space="preserve">SALTY BOREHOLE WATER</t>
  </si>
  <si>
    <t xml:space="preserve">Taps, mixers, showers</t>
  </si>
  <si>
    <t xml:space="preserve">Ask for SUS316L stainless bodies. Not 304, not zinc alloy, not chrome-plated brass - all of these pit, blister or leak in salty water. Finish: PVD (brushed gunmetal or brushed stainless), far harder than plating. Cartridges: Sedal or Kerox. Buy spare cartridges and aerators.</t>
  </si>
  <si>
    <t xml:space="preserve">How to check it is 316</t>
  </si>
  <si>
    <t xml:space="preserve">Ask for the mill certificate and test a sample at the factory with a handheld XRF alloy tester (many '316' items are 201 or 304). A magnet test does not work. Write 'SUS316L - XRF verified' on every order.</t>
  </si>
  <si>
    <t xml:space="preserve">Cisterns, drains, heaters</t>
  </si>
  <si>
    <t xml:space="preserve">Cistern fill and flush valves: plastic or stainless, never brass. Floor and shower drains: 316L. Water heaters: titanium-enamel or glass-lined tank with magnesium anode; buy spare anodes.</t>
  </si>
  <si>
    <t xml:space="preserve">DOOR HARDWARE (doors made locally)</t>
  </si>
  <si>
    <t xml:space="preserve">Buy hardware BEFORE the doors are made</t>
  </si>
  <si>
    <t xml:space="preserve">Give the carpenter the actual hinges, lock cases, concealed closers and drop seals (or their technical sheets). Lock backset, hinge size, closer channel and seal groove must be cut into the door. Doors: minimum 45 mm thick hardwood, 4 hinges each - 2.7 m doors are heavy.</t>
  </si>
  <si>
    <t xml:space="preserve">Hinges</t>
  </si>
  <si>
    <t xml:space="preserve">Ball-bearing butt hinges, EN 1935 Grade 13, solid SUS316 with SUS316 screws, 102 x 76 x 3 mm, 4 per door. Brands: Simonswerk, Hafele, Dormakaba.</t>
  </si>
  <si>
    <t xml:space="preserve">Handles &amp; locks</t>
  </si>
  <si>
    <t xml:space="preserve">Solid SUS316 lever handles on roses (not hollow, not plated), PVD finish. Silent magnetic latches for all rooms; EN 12209 Grade 3 sashlock with deadbolt on the entrance. Brands: Hoppe, Hafele, Dormakaba, ASSA ABLOY / Yale.</t>
  </si>
  <si>
    <t xml:space="preserve">Cylinders &amp; keys</t>
  </si>
  <si>
    <t xml:space="preserve">Euro cylinders EN 1303 Grade 6 (anti-snap, anti-drill, anti-bump) with a registered key profile so nobody can copy keys. Order the whole house as one master-key system: one owner key opens everything, each room has its own key. The supplier needs the Doors sheet.</t>
  </si>
  <si>
    <t xml:space="preserve">Entrance door</t>
  </si>
  <si>
    <t xml:space="preserve">Security sashlock + Grade 6 cylinder, concealed closer with hold-open, digital door viewer, perimeter weather seal, drop-down bottom seal. A fingerprint smart lock is optional but recommended - choose a timber-door model and check it fits the stile.</t>
  </si>
  <si>
    <t xml:space="preserve">Door closers</t>
  </si>
  <si>
    <t xml:space="preserve">Concealed, adjustable EN 1154 size 2-5 with backcheck, delayed action and hold-open - Dormakaba or GEZE. Mortised into the door top, so the carpenter needs them first. Listed for entrance, verandah and roof-terrace doors.</t>
  </si>
  <si>
    <t xml:space="preserve">Bottom seals</t>
  </si>
  <si>
    <t xml:space="preserve">Automatic drop-down seals mortised into the door bottom (Planet or Athmer type): drop when the door closes, lift when it opens - no dust, insects, noise or AC loss, no floor rubbing. One per door; the carpenter grooves the door bottom.</t>
  </si>
  <si>
    <t xml:space="preserve">Door stops &amp; holders</t>
  </si>
  <si>
    <t xml:space="preserve">Floor stops in SUS316 with replaceable rubber. Kitchen, pantry, closet and gym get magnetic hold-open holders. Push-in rubber silencers in every frame.</t>
  </si>
  <si>
    <t xml:space="preserve">Where to buy</t>
  </si>
  <si>
    <t xml:space="preserve">Only from authorised brand dealers (Hafele, Dormakaba, GEZE, ASSA ABLOY have official showrooms in Guangzhou / Shanghai) - never from general hardware markets, where fakes are common. Ask for the dealer authorisation letter and the brand warranty card.</t>
  </si>
  <si>
    <t xml:space="preserve">WATER TREATMENT - RO 1000 L/h</t>
  </si>
  <si>
    <t xml:space="preserve">First: test the water</t>
  </si>
  <si>
    <t xml:space="preserve">Have the borehole water tested in Dar before asking for quotes: TDS, chloride, sodium, hardness, iron, manganese, silica, pH. A brackish RO plant is sized from these numbers - a supplier who quotes without them is guessing.</t>
  </si>
  <si>
    <t xml:space="preserve">What a good plant has</t>
  </si>
  <si>
    <t xml:space="preserve">SS316 high-pressure pump (Grundfos or CNP), DuPont FilmTec or Toray brackish membranes in SS316 housings, PLC with conductivity meter, auto-flush, pressure protection, 55-65% recovery. Pre-treatment: sand filter, carbon filter, antiscalant dosing, 5-micron cartridge; softener only if hardness is high. Post-treatment: remineralisation (RO water is corrosive on its own) and UV.</t>
  </si>
  <si>
    <t xml:space="preserve">Size &amp; power</t>
  </si>
  <si>
    <t xml:space="preserve">1000 L/h is 24,000 L/day at full run - about 3 hours a day covers 3,000 L. Needs a raw-water tank, a product-water tank and 380 V 3-phase (2-4 kW). Buy 12 months of consumables and spare membranes with the plant.</t>
  </si>
  <si>
    <t xml:space="preserve">WINDOWS</t>
  </si>
  <si>
    <t xml:space="preserve">Frame colour</t>
  </si>
  <si>
    <t xml:space="preserve">Matte anthracite grey RAL 7016 - reads dark against the white facade and stone, shows less dust and salt than black, runs cooler in the sun. Same colour for outdoor wall lights.</t>
  </si>
  <si>
    <t xml:space="preserve">Spec</t>
  </si>
  <si>
    <t xml:space="preserve">Thermal-break aluminium &gt;= 1.4 mm walls, coastal powder coat (Qualicoat Class 2 / AAMA 2604), SUS316 hardware and screws, 6 mm solar-control Low-E (grey) + 12 mm gap + 6 mm clear, both tempered; obscure inner pane in bathrooms. Re-measure every opening after plastering and give the factory the finished sizes.</t>
  </si>
  <si>
    <t xml:space="preserve">TILES</t>
  </si>
  <si>
    <t xml:space="preserve">Formats</t>
  </si>
  <si>
    <t xml:space="preserve">Main floors and bathroom walls: 1200 x 2400 slabs, satin finish (gloss is slippery and shows scratches). Bathroom floors: 600 x 1200 R11 anti-slip (needed to slope to the drain). Stairs: treads with anti-slip nosing and matching risers. Balconies, lobby, terrace: 600 x 1200 x 20 mm outdoor. Carport and verandah: 20 mm heavy-duty, dark grey like the driveway pavers.</t>
  </si>
  <si>
    <t xml:space="preserve">Extra for cuts &amp; breakage</t>
  </si>
  <si>
    <t xml:space="preserve">12% is set on the Start Here sheet and applied to every tile line. Order each type in ONE batch and keep one box per type as spares - you cannot top up from China with a matching shade later.</t>
  </si>
  <si>
    <t xml:space="preserve">Moving slabs</t>
  </si>
  <si>
    <t xml:space="preserve">A 1200 x 2400 slab is about 50 kg and will not go up the stair - hoist first-floor slabs through the balcony openings. Buy the suction lifter and levelling clips on the list. Use C2TE S1 flexible adhesive, full back-buttering, and fixers who have laid slabs before.</t>
  </si>
  <si>
    <t xml:space="preserve">SWITCHES, SOCKETS, LIGHTS</t>
  </si>
  <si>
    <t xml:space="preserve">Switches &amp; sockets</t>
  </si>
  <si>
    <t xml:space="preserve">UK standard (BS 1363 / BS 5733), square 86 x 86 mm plates for the UK back boxes already in the walls, 220-240 V 50 Hz. One range for the whole house. Count the boxes room by room with the electrician before ordering.</t>
  </si>
  <si>
    <t xml:space="preserve">Lights</t>
  </si>
  <si>
    <t xml:space="preserve">Downlights CRI &gt; 90 with flicker-free drivers; 3000K in living areas and bedrooms, 4000K in kitchen, pantry, office and gym; IP65 in bathrooms, balconies, carport and verandah. The list already includes 5-10% spares from the same batch.</t>
  </si>
  <si>
    <t xml:space="preserve">KITCHEN &amp; FURNITURE</t>
  </si>
  <si>
    <t xml:space="preserve">Cabinets</t>
  </si>
  <si>
    <t xml:space="preserve">No particleboard or MDF carcasses in Dar humidity - aluminium honeycomb, stainless steel or E0 marine plywood. Doors in matte lacquer, PET or Fenix. Worktop and island: sintered stone. Hardware: Blum or Hettich soft-close.</t>
  </si>
  <si>
    <t xml:space="preserve">Appliances</t>
  </si>
  <si>
    <t xml:space="preserve">Confirm induction vs gas before buying the hob. All appliances 220-240 V 50 Hz. Fridge and oven have no local warranty if imported - consider buying those in Dar.</t>
  </si>
  <si>
    <t xml:space="preserve">Master bed</t>
  </si>
  <si>
    <t xml:space="preserve">Mattress 1930 x 2130 mm (King width, 7 ft long). Chinese factories default to 2000 mm long - write the size in mm on the order and make sure frame, mattress and bedding match.</t>
  </si>
  <si>
    <t xml:space="preserve">WHERE TO BUY</t>
  </si>
  <si>
    <t xml:space="preserve">Markets</t>
  </si>
  <si>
    <t xml:space="preserve">Tiles: Foshan (Nanzhuang / China Ceramics City). Sanitary ceramics: Chaozhou and Foshan. Taps: Kaiping / Heshan. Lighting: Guzhen, Zhongshan. Switches: Foshan or Yueqing. Windows: Foshan. Furniture: Foshan Lecong and Longjiang. Kitchens: Foshan / Guangzhou. Door hardware and RO: brand dealers in Guangzhou / Shanghai.</t>
  </si>
  <si>
    <t xml:space="preserve">Before final payment</t>
  </si>
  <si>
    <t xml:space="preserve">Inspect every order (or hire a third-party inspector): count against the By Room printout, check sizes, finish and batch codes, test-fit a switch in a UK back box, open 10% of tile boxes.</t>
  </si>
  <si>
    <t xml:space="preserve">YesNo</t>
  </si>
  <si>
    <t xml:space="preserve">DoorType</t>
  </si>
  <si>
    <t xml:space="preserve">Stop</t>
  </si>
  <si>
    <t xml:space="preserve">Y</t>
  </si>
  <si>
    <t xml:space="preserve">Ordered</t>
  </si>
  <si>
    <t xml:space="preserve">Paid</t>
  </si>
  <si>
    <t xml:space="preserve">Shipped</t>
  </si>
</sst>
</file>

<file path=xl/styles.xml><?xml version="1.0" encoding="utf-8"?>
<styleSheet xmlns="http://schemas.openxmlformats.org/spreadsheetml/2006/main">
  <numFmts count="13">
    <numFmt numFmtId="164" formatCode="General"/>
    <numFmt numFmtId="165" formatCode="0.00"/>
    <numFmt numFmtId="166" formatCode="0%"/>
    <numFmt numFmtId="167" formatCode="0"/>
    <numFmt numFmtId="168" formatCode="#,##0"/>
    <numFmt numFmtId="169" formatCode="\$#,##0"/>
    <numFmt numFmtId="170" formatCode="@"/>
    <numFmt numFmtId="171" formatCode="General"/>
    <numFmt numFmtId="172" formatCode="#,##0.00"/>
    <numFmt numFmtId="173" formatCode="#,##0.00;\-#,##0.00;\-"/>
    <numFmt numFmtId="174" formatCode="\$#,##0.00;&quot;-$&quot;#,##0.00;\-"/>
    <numFmt numFmtId="175" formatCode="0.0"/>
    <numFmt numFmtId="176" formatCode="0.000"/>
  </numFmts>
  <fonts count="21">
    <font>
      <sz val="11"/>
      <color theme="1"/>
      <name val="Calibri"/>
      <family val="2"/>
      <charset val="1"/>
    </font>
    <font>
      <sz val="10"/>
      <name val="Arial"/>
      <family val="0"/>
    </font>
    <font>
      <sz val="10"/>
      <name val="Arial"/>
      <family val="0"/>
    </font>
    <font>
      <sz val="10"/>
      <name val="Arial"/>
      <family val="0"/>
    </font>
    <font>
      <b val="true"/>
      <sz val="18"/>
      <color rgb="FF1F3A5F"/>
      <name val="Arial"/>
      <family val="0"/>
      <charset val="1"/>
    </font>
    <font>
      <i val="true"/>
      <sz val="9"/>
      <color rgb="FF6B7280"/>
      <name val="Arial"/>
      <family val="0"/>
      <charset val="1"/>
    </font>
    <font>
      <b val="true"/>
      <sz val="11"/>
      <color rgb="FFFFFFFF"/>
      <name val="Arial"/>
      <family val="0"/>
      <charset val="1"/>
    </font>
    <font>
      <b val="true"/>
      <sz val="10"/>
      <name val="Arial"/>
      <family val="0"/>
      <charset val="1"/>
    </font>
    <font>
      <b val="true"/>
      <sz val="11"/>
      <color rgb="FF1F4FBF"/>
      <name val="Arial"/>
      <family val="0"/>
      <charset val="1"/>
    </font>
    <font>
      <sz val="10"/>
      <name val="Arial"/>
      <family val="0"/>
      <charset val="1"/>
    </font>
    <font>
      <sz val="10"/>
      <color rgb="FF1F4FBF"/>
      <name val="Arial"/>
      <family val="0"/>
      <charset val="1"/>
    </font>
    <font>
      <i val="true"/>
      <sz val="11"/>
      <color rgb="FF9CA3AF"/>
      <name val="Arial"/>
      <family val="0"/>
      <charset val="1"/>
    </font>
    <font>
      <b val="true"/>
      <sz val="11"/>
      <color rgb="FF1F3A5F"/>
      <name val="Arial"/>
      <family val="0"/>
      <charset val="1"/>
    </font>
    <font>
      <b val="true"/>
      <sz val="10"/>
      <color rgb="FFFFFFFF"/>
      <name val="Arial"/>
      <family val="0"/>
      <charset val="1"/>
    </font>
    <font>
      <b val="true"/>
      <sz val="15"/>
      <color rgb="FF1F3A5F"/>
      <name val="Arial"/>
      <family val="0"/>
      <charset val="1"/>
    </font>
    <font>
      <sz val="10"/>
      <color rgb="FF008000"/>
      <name val="Arial"/>
      <family val="0"/>
      <charset val="1"/>
    </font>
    <font>
      <b val="true"/>
      <sz val="12"/>
      <name val="Arial"/>
      <family val="0"/>
      <charset val="1"/>
    </font>
    <font>
      <b val="true"/>
      <sz val="13"/>
      <color rgb="FF1F4FBF"/>
      <name val="Arial"/>
      <family val="0"/>
      <charset val="1"/>
    </font>
    <font>
      <sz val="8"/>
      <color rgb="FF9CA3AF"/>
      <name val="Arial"/>
      <family val="0"/>
      <charset val="1"/>
    </font>
    <font>
      <b val="true"/>
      <sz val="12"/>
      <color rgb="FF1F3A5F"/>
      <name val="Arial"/>
      <family val="0"/>
      <charset val="1"/>
    </font>
    <font>
      <sz val="10"/>
      <color rgb="FF1F3A5F"/>
      <name val="Arial"/>
      <family val="0"/>
      <charset val="1"/>
    </font>
  </fonts>
  <fills count="16">
    <fill>
      <patternFill patternType="none"/>
    </fill>
    <fill>
      <patternFill patternType="gray125"/>
    </fill>
    <fill>
      <patternFill patternType="solid">
        <fgColor rgb="FF1F3A5F"/>
        <bgColor rgb="FF333333"/>
      </patternFill>
    </fill>
    <fill>
      <patternFill patternType="solid">
        <fgColor rgb="FFFFF4CC"/>
        <bgColor rgb="FFFFF1C9"/>
      </patternFill>
    </fill>
    <fill>
      <patternFill patternType="solid">
        <fgColor rgb="FFDCE9F7"/>
        <bgColor rgb="FFE4E9F7"/>
      </patternFill>
    </fill>
    <fill>
      <patternFill patternType="solid">
        <fgColor rgb="FFD7F0EE"/>
        <bgColor rgb="FFD6EEF8"/>
      </patternFill>
    </fill>
    <fill>
      <patternFill patternType="solid">
        <fgColor rgb="FFFFF1C9"/>
        <bgColor rgb="FFFFF4CC"/>
      </patternFill>
    </fill>
    <fill>
      <patternFill patternType="solid">
        <fgColor rgb="FFE4E9F7"/>
        <bgColor rgb="FFDCE9F7"/>
      </patternFill>
    </fill>
    <fill>
      <patternFill patternType="solid">
        <fgColor rgb="FFFCE4D6"/>
        <bgColor rgb="FFF2E6D9"/>
      </patternFill>
    </fill>
    <fill>
      <patternFill patternType="solid">
        <fgColor rgb="FFE7E0F5"/>
        <bgColor rgb="FFE8DFF0"/>
      </patternFill>
    </fill>
    <fill>
      <patternFill patternType="solid">
        <fgColor rgb="FFE2F0D9"/>
        <bgColor rgb="FFECECEC"/>
      </patternFill>
    </fill>
    <fill>
      <patternFill patternType="solid">
        <fgColor rgb="FFF2E6D9"/>
        <bgColor rgb="FFFCE4D6"/>
      </patternFill>
    </fill>
    <fill>
      <patternFill patternType="solid">
        <fgColor rgb="FFFBE2EC"/>
        <bgColor rgb="FFFCE4D6"/>
      </patternFill>
    </fill>
    <fill>
      <patternFill patternType="solid">
        <fgColor rgb="FFE8DFF0"/>
        <bgColor rgb="FFE7E0F5"/>
      </patternFill>
    </fill>
    <fill>
      <patternFill patternType="solid">
        <fgColor rgb="FFD6EEF8"/>
        <bgColor rgb="FFD7F0EE"/>
      </patternFill>
    </fill>
    <fill>
      <patternFill patternType="solid">
        <fgColor rgb="FFECECEC"/>
        <bgColor rgb="FFE4E9F7"/>
      </patternFill>
    </fill>
  </fills>
  <borders count="2">
    <border diagonalUp="false" diagonalDown="false">
      <left/>
      <right/>
      <top/>
      <bottom/>
      <diagonal/>
    </border>
    <border diagonalUp="false" diagonalDown="false">
      <left style="thin">
        <color rgb="FFC8CED8"/>
      </left>
      <right style="thin">
        <color rgb="FFC8CED8"/>
      </right>
      <top style="thin">
        <color rgb="FFC8CED8"/>
      </top>
      <bottom style="thin">
        <color rgb="FFC8CE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7" fontId="12" fillId="0" borderId="1" xfId="0" applyFont="true" applyBorder="true" applyAlignment="true" applyProtection="false">
      <alignment horizontal="right" vertical="bottom" textRotation="0" wrapText="false" indent="0" shrinkToFit="false"/>
      <protection locked="true" hidden="false"/>
    </xf>
    <xf numFmtId="168" fontId="12" fillId="0" borderId="1" xfId="0" applyFont="true" applyBorder="true" applyAlignment="true" applyProtection="false">
      <alignment horizontal="right" vertical="bottom" textRotation="0" wrapText="false" indent="0" shrinkToFit="false"/>
      <protection locked="true" hidden="false"/>
    </xf>
    <xf numFmtId="169" fontId="12" fillId="0" borderId="1" xfId="0" applyFont="true" applyBorder="true" applyAlignment="true" applyProtection="false">
      <alignment horizontal="right" vertical="bottom" textRotation="0" wrapText="false" indent="0" shrinkToFit="false"/>
      <protection locked="true" hidden="false"/>
    </xf>
    <xf numFmtId="170" fontId="12" fillId="0" borderId="1" xfId="0" applyFont="true" applyBorder="true" applyAlignment="true" applyProtection="false">
      <alignment horizontal="right" vertical="bottom" textRotation="0" wrapText="false" indent="0" shrinkToFit="false"/>
      <protection locked="true" hidden="false"/>
    </xf>
    <xf numFmtId="164" fontId="13" fillId="2" borderId="1" xfId="0" applyFont="true" applyBorder="true" applyAlignment="true" applyProtection="false">
      <alignment horizontal="center"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false" applyProtection="false">
      <alignment horizontal="general" vertical="bottom" textRotation="0" wrapText="false" indent="0" shrinkToFit="false"/>
      <protection locked="true" hidden="false"/>
    </xf>
    <xf numFmtId="164" fontId="9" fillId="6" borderId="1" xfId="0" applyFont="true" applyBorder="true" applyAlignment="false" applyProtection="false">
      <alignment horizontal="general" vertical="bottom" textRotation="0" wrapText="false" indent="0" shrinkToFit="false"/>
      <protection locked="true" hidden="false"/>
    </xf>
    <xf numFmtId="164" fontId="9" fillId="7" borderId="1" xfId="0" applyFont="true" applyBorder="true" applyAlignment="false" applyProtection="false">
      <alignment horizontal="general" vertical="bottom" textRotation="0" wrapText="false" indent="0" shrinkToFit="false"/>
      <protection locked="true" hidden="false"/>
    </xf>
    <xf numFmtId="164" fontId="9" fillId="8" borderId="1" xfId="0" applyFont="true" applyBorder="true" applyAlignment="false" applyProtection="false">
      <alignment horizontal="general" vertical="bottom" textRotation="0" wrapText="false" indent="0" shrinkToFit="false"/>
      <protection locked="true" hidden="false"/>
    </xf>
    <xf numFmtId="164" fontId="9" fillId="9" borderId="1" xfId="0" applyFont="true" applyBorder="true" applyAlignment="false" applyProtection="false">
      <alignment horizontal="general" vertical="bottom" textRotation="0" wrapText="false" indent="0" shrinkToFit="false"/>
      <protection locked="true" hidden="false"/>
    </xf>
    <xf numFmtId="164" fontId="9" fillId="10" borderId="1" xfId="0" applyFont="true" applyBorder="true" applyAlignment="false" applyProtection="false">
      <alignment horizontal="general" vertical="bottom" textRotation="0" wrapText="false" indent="0" shrinkToFit="false"/>
      <protection locked="true" hidden="false"/>
    </xf>
    <xf numFmtId="164" fontId="9" fillId="11" borderId="1" xfId="0" applyFont="true" applyBorder="true" applyAlignment="false" applyProtection="false">
      <alignment horizontal="general" vertical="bottom" textRotation="0" wrapText="false" indent="0" shrinkToFit="false"/>
      <protection locked="true" hidden="false"/>
    </xf>
    <xf numFmtId="164" fontId="9" fillId="12" borderId="1" xfId="0" applyFont="true" applyBorder="true" applyAlignment="false" applyProtection="false">
      <alignment horizontal="general" vertical="bottom" textRotation="0" wrapText="false" indent="0" shrinkToFit="false"/>
      <protection locked="true" hidden="false"/>
    </xf>
    <xf numFmtId="164" fontId="9" fillId="13" borderId="1" xfId="0" applyFont="true" applyBorder="true" applyAlignment="false" applyProtection="false">
      <alignment horizontal="general" vertical="bottom" textRotation="0" wrapText="false" indent="0" shrinkToFit="false"/>
      <protection locked="true" hidden="false"/>
    </xf>
    <xf numFmtId="164" fontId="9" fillId="14" borderId="1" xfId="0" applyFont="true" applyBorder="true" applyAlignment="false" applyProtection="false">
      <alignment horizontal="general" vertical="bottom" textRotation="0" wrapText="false" indent="0" shrinkToFit="false"/>
      <protection locked="true" hidden="false"/>
    </xf>
    <xf numFmtId="164" fontId="9" fillId="15"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71" fontId="15" fillId="0" borderId="1" xfId="0" applyFont="true" applyBorder="true" applyAlignment="true" applyProtection="false">
      <alignment horizontal="general" vertical="top" textRotation="0" wrapText="false" indent="0" shrinkToFit="false"/>
      <protection locked="true" hidden="false"/>
    </xf>
    <xf numFmtId="172" fontId="10" fillId="3" borderId="1" xfId="0" applyFont="true" applyBorder="true" applyAlignment="true" applyProtection="false">
      <alignment horizontal="general" vertical="top" textRotation="0" wrapText="false" indent="0" shrinkToFit="false"/>
      <protection locked="true" hidden="false"/>
    </xf>
    <xf numFmtId="173" fontId="9" fillId="0" borderId="1" xfId="0" applyFont="true" applyBorder="true" applyAlignment="true" applyProtection="false">
      <alignment horizontal="general" vertical="top" textRotation="0" wrapText="false" indent="0" shrinkToFit="false"/>
      <protection locked="true" hidden="false"/>
    </xf>
    <xf numFmtId="174" fontId="9" fillId="0" borderId="1" xfId="0" applyFont="true" applyBorder="true" applyAlignment="true" applyProtection="false">
      <alignment horizontal="general" vertical="top" textRotation="0" wrapText="false" indent="0" shrinkToFit="false"/>
      <protection locked="true" hidden="false"/>
    </xf>
    <xf numFmtId="164" fontId="10" fillId="3"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3" borderId="1" xfId="0" applyFont="true" applyBorder="tru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72" fontId="9" fillId="0" borderId="1" xfId="0" applyFont="true" applyBorder="true" applyAlignment="true" applyProtection="false">
      <alignment horizontal="general" vertical="top" textRotation="0" wrapText="false" indent="0" shrinkToFit="false"/>
      <protection locked="true" hidden="false"/>
    </xf>
    <xf numFmtId="175" fontId="10" fillId="3"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1"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71" fontId="12" fillId="0" borderId="0" xfId="0" applyFont="true" applyBorder="false" applyAlignment="false" applyProtection="false">
      <alignment horizontal="general" vertical="bottom" textRotation="0" wrapText="false" indent="0" shrinkToFit="false"/>
      <protection locked="true" hidden="false"/>
    </xf>
    <xf numFmtId="175" fontId="12" fillId="0" borderId="0" xfId="0" applyFont="true" applyBorder="false" applyAlignment="false" applyProtection="false">
      <alignment horizontal="general" vertical="bottom" textRotation="0" wrapText="false" indent="0" shrinkToFit="false"/>
      <protection locked="true" hidden="false"/>
    </xf>
    <xf numFmtId="164" fontId="18"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76" fontId="9"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3">
    <dxf>
      <fill>
        <patternFill patternType="solid">
          <fgColor rgb="FF1F3A5F"/>
          <bgColor rgb="FF000000"/>
        </patternFill>
      </fill>
    </dxf>
    <dxf>
      <fill>
        <patternFill patternType="solid">
          <bgColor rgb="FF000000"/>
        </patternFill>
      </fill>
    </dxf>
    <dxf>
      <fill>
        <patternFill patternType="solid">
          <fgColor rgb="FF1F4FBF"/>
          <bgColor rgb="FF000000"/>
        </patternFill>
      </fill>
    </dxf>
    <dxf>
      <fill>
        <patternFill patternType="solid">
          <fgColor rgb="FFFFFFFF"/>
          <bgColor rgb="FF000000"/>
        </patternFill>
      </fill>
    </dxf>
    <dxf>
      <fill>
        <patternFill patternType="solid">
          <fgColor rgb="FFD6EEF8"/>
          <bgColor rgb="FF000000"/>
        </patternFill>
      </fill>
    </dxf>
    <dxf>
      <fill>
        <patternFill patternType="solid">
          <fgColor rgb="FFD7F0EE"/>
          <bgColor rgb="FF000000"/>
        </patternFill>
      </fill>
    </dxf>
    <dxf>
      <fill>
        <patternFill patternType="solid">
          <fgColor rgb="FFDCE9F7"/>
          <bgColor rgb="FF000000"/>
        </patternFill>
      </fill>
    </dxf>
    <dxf>
      <fill>
        <patternFill patternType="solid">
          <fgColor rgb="FFE2F0D9"/>
          <bgColor rgb="FF000000"/>
        </patternFill>
      </fill>
    </dxf>
    <dxf>
      <fill>
        <patternFill patternType="solid">
          <fgColor rgb="FFE4E9F7"/>
          <bgColor rgb="FF000000"/>
        </patternFill>
      </fill>
    </dxf>
    <dxf>
      <fill>
        <patternFill patternType="solid">
          <fgColor rgb="FFE7E0F5"/>
          <bgColor rgb="FF000000"/>
        </patternFill>
      </fill>
    </dxf>
    <dxf>
      <fill>
        <patternFill patternType="solid">
          <fgColor rgb="FFE8DFF0"/>
          <bgColor rgb="FF000000"/>
        </patternFill>
      </fill>
    </dxf>
    <dxf>
      <fill>
        <patternFill patternType="solid">
          <fgColor rgb="FFECECEC"/>
          <bgColor rgb="FF000000"/>
        </patternFill>
      </fill>
    </dxf>
    <dxf>
      <fill>
        <patternFill patternType="solid">
          <fgColor rgb="FFF2E6D9"/>
          <bgColor rgb="FF000000"/>
        </patternFill>
      </fill>
    </dxf>
    <dxf>
      <fill>
        <patternFill patternType="solid">
          <fgColor rgb="FFFBE2EC"/>
          <bgColor rgb="FF000000"/>
        </patternFill>
      </fill>
    </dxf>
    <dxf>
      <fill>
        <patternFill patternType="solid">
          <fgColor rgb="FFFCE4D6"/>
          <bgColor rgb="FF000000"/>
        </patternFill>
      </fill>
    </dxf>
    <dxf>
      <fill>
        <patternFill patternType="solid">
          <fgColor rgb="FFFFF1C9"/>
          <bgColor rgb="FF000000"/>
        </patternFill>
      </fill>
    </dxf>
    <dxf>
      <fill>
        <patternFill patternType="solid">
          <fgColor rgb="FF9CA3AF"/>
          <bgColor rgb="FF000000"/>
        </patternFill>
      </fill>
    </dxf>
    <dxf>
      <fill>
        <patternFill patternType="solid">
          <fgColor rgb="FFFFF4CC"/>
          <bgColor rgb="FF000000"/>
        </patternFill>
      </fill>
    </dxf>
    <dxf>
      <fill>
        <patternFill patternType="solid">
          <fgColor rgb="FF008000"/>
          <bgColor rgb="FF000000"/>
        </patternFill>
      </fill>
    </dxf>
    <dxf>
      <fill>
        <patternFill>
          <bgColor rgb="FFDCE9F7"/>
        </patternFill>
      </fill>
    </dxf>
    <dxf>
      <fill>
        <patternFill>
          <bgColor rgb="FFD7F0EE"/>
        </patternFill>
      </fill>
    </dxf>
    <dxf>
      <fill>
        <patternFill>
          <bgColor rgb="FFFFF1C9"/>
        </patternFill>
      </fill>
    </dxf>
    <dxf>
      <fill>
        <patternFill>
          <bgColor rgb="FFE4E9F7"/>
        </patternFill>
      </fill>
    </dxf>
    <dxf>
      <fill>
        <patternFill>
          <bgColor rgb="FFFCE4D6"/>
        </patternFill>
      </fill>
    </dxf>
    <dxf>
      <fill>
        <patternFill>
          <bgColor rgb="FFE7E0F5"/>
        </patternFill>
      </fill>
    </dxf>
    <dxf>
      <fill>
        <patternFill>
          <bgColor rgb="FFE2F0D9"/>
        </patternFill>
      </fill>
    </dxf>
    <dxf>
      <fill>
        <patternFill>
          <bgColor rgb="FFF2E6D9"/>
        </patternFill>
      </fill>
    </dxf>
    <dxf>
      <fill>
        <patternFill>
          <bgColor rgb="FFFBE2EC"/>
        </patternFill>
      </fill>
    </dxf>
    <dxf>
      <fill>
        <patternFill>
          <bgColor rgb="FFE8DFF0"/>
        </patternFill>
      </fill>
    </dxf>
    <dxf>
      <fill>
        <patternFill>
          <bgColor rgb="FFD6EEF8"/>
        </patternFill>
      </fill>
    </dxf>
    <dxf>
      <fill>
        <patternFill>
          <bgColor rgb="FFECECEC"/>
        </patternFill>
      </fill>
    </dxf>
    <dxf>
      <fill>
        <patternFill>
          <bgColor rgb="FFC6EFCE"/>
        </patternFill>
      </fill>
    </dxf>
    <dxf>
      <font>
        <name val="Arial"/>
        <charset val="1"/>
        <family val="0"/>
        <i val="1"/>
        <color rgb="FF9CA3AF"/>
      </font>
    </dxf>
  </dxfs>
  <colors>
    <indexedColors>
      <rgbColor rgb="FF000000"/>
      <rgbColor rgb="FFFFFFFF"/>
      <rgbColor rgb="FFFF0000"/>
      <rgbColor rgb="FF00FF00"/>
      <rgbColor rgb="FF0000FF"/>
      <rgbColor rgb="FFE2F0D9"/>
      <rgbColor rgb="FFFF00FF"/>
      <rgbColor rgb="FF00FFFF"/>
      <rgbColor rgb="FF800000"/>
      <rgbColor rgb="FF008000"/>
      <rgbColor rgb="FF000080"/>
      <rgbColor rgb="FF808000"/>
      <rgbColor rgb="FF800080"/>
      <rgbColor rgb="FF008080"/>
      <rgbColor rgb="FFE8DFF0"/>
      <rgbColor rgb="FF7F8C9A"/>
      <rgbColor rgb="FFE4E9F7"/>
      <rgbColor rgb="FF993366"/>
      <rgbColor rgb="FFFFF4CC"/>
      <rgbColor rgb="FFD7F0EE"/>
      <rgbColor rgb="FF660066"/>
      <rgbColor rgb="FFFF8080"/>
      <rgbColor rgb="FF1F4FBF"/>
      <rgbColor rgb="FFC8CED8"/>
      <rgbColor rgb="FF000080"/>
      <rgbColor rgb="FFFF00FF"/>
      <rgbColor rgb="FFF2E6D9"/>
      <rgbColor rgb="FF00FFFF"/>
      <rgbColor rgb="FF800080"/>
      <rgbColor rgb="FF800000"/>
      <rgbColor rgb="FF008080"/>
      <rgbColor rgb="FF0000FF"/>
      <rgbColor rgb="FF00CCFF"/>
      <rgbColor rgb="FFD6EEF8"/>
      <rgbColor rgb="FFC6EFCE"/>
      <rgbColor rgb="FFFFF1C9"/>
      <rgbColor rgb="FFDCE9F7"/>
      <rgbColor rgb="FFFBE2EC"/>
      <rgbColor rgb="FFE7E0F5"/>
      <rgbColor rgb="FFFCE4D6"/>
      <rgbColor rgb="FF3366FF"/>
      <rgbColor rgb="FF33CCCC"/>
      <rgbColor rgb="FF99CC00"/>
      <rgbColor rgb="FFECECEC"/>
      <rgbColor rgb="FFC9A227"/>
      <rgbColor rgb="FFFF6600"/>
      <rgbColor rgb="FF6B7280"/>
      <rgbColor rgb="FF9CA3AF"/>
      <rgbColor rgb="FF1F3A5F"/>
      <rgbColor rgb="FF339966"/>
      <rgbColor rgb="FF003300"/>
      <rgbColor rgb="FF333300"/>
      <rgbColor rgb="FFC0392B"/>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227"/>
    <pageSetUpPr fitToPage="false"/>
  </sheetPr>
  <dimension ref="B1:H5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16"/>
    <col collapsed="false" customWidth="true" hidden="false" outlineLevel="0" max="8" min="4" style="0" width="13"/>
  </cols>
  <sheetData>
    <row r="1" customFormat="false" ht="22.05" hidden="false" customHeight="false" outlineLevel="0" collapsed="false">
      <c r="B1" s="1" t="s">
        <v>0</v>
      </c>
    </row>
    <row r="2" customFormat="false" ht="15" hidden="false" customHeight="false" outlineLevel="0" collapsed="false">
      <c r="B2" s="2" t="s">
        <v>1</v>
      </c>
    </row>
    <row r="4" customFormat="false" ht="15" hidden="false" customHeight="false" outlineLevel="0" collapsed="false">
      <c r="B4" s="3" t="s">
        <v>2</v>
      </c>
      <c r="C4" s="4"/>
      <c r="D4" s="4"/>
      <c r="E4" s="4"/>
      <c r="F4" s="4"/>
      <c r="G4" s="4"/>
      <c r="H4" s="4"/>
    </row>
    <row r="6" customFormat="false" ht="15" hidden="false" customHeight="false" outlineLevel="0" collapsed="false">
      <c r="B6" s="5" t="s">
        <v>3</v>
      </c>
      <c r="C6" s="6" t="n">
        <v>7.1</v>
      </c>
      <c r="D6" s="2" t="s">
        <v>4</v>
      </c>
    </row>
    <row r="7" customFormat="false" ht="15" hidden="false" customHeight="false" outlineLevel="0" collapsed="false">
      <c r="B7" s="5" t="s">
        <v>5</v>
      </c>
      <c r="C7" s="7" t="n">
        <v>0.12</v>
      </c>
      <c r="D7" s="2" t="s">
        <v>6</v>
      </c>
    </row>
    <row r="9" customFormat="false" ht="15" hidden="false" customHeight="false" outlineLevel="0" collapsed="false">
      <c r="B9" s="3" t="s">
        <v>7</v>
      </c>
      <c r="C9" s="4"/>
      <c r="D9" s="4"/>
      <c r="E9" s="4"/>
      <c r="F9" s="4"/>
      <c r="G9" s="4"/>
      <c r="H9" s="4"/>
    </row>
    <row r="11" customFormat="false" ht="27.75" hidden="false" customHeight="true" outlineLevel="0" collapsed="false">
      <c r="B11" s="8" t="s">
        <v>8</v>
      </c>
      <c r="C11" s="9" t="s">
        <v>9</v>
      </c>
      <c r="D11" s="9"/>
      <c r="E11" s="9"/>
      <c r="F11" s="9"/>
      <c r="G11" s="9"/>
      <c r="H11" s="9"/>
    </row>
    <row r="12" customFormat="false" ht="27.75" hidden="false" customHeight="true" outlineLevel="0" collapsed="false">
      <c r="B12" s="8" t="s">
        <v>10</v>
      </c>
      <c r="C12" s="9" t="s">
        <v>11</v>
      </c>
      <c r="D12" s="9"/>
      <c r="E12" s="9"/>
      <c r="F12" s="9"/>
      <c r="G12" s="9"/>
      <c r="H12" s="9"/>
    </row>
    <row r="13" customFormat="false" ht="27.75" hidden="false" customHeight="true" outlineLevel="0" collapsed="false">
      <c r="B13" s="8" t="s">
        <v>12</v>
      </c>
      <c r="C13" s="9" t="s">
        <v>13</v>
      </c>
      <c r="D13" s="9"/>
      <c r="E13" s="9"/>
      <c r="F13" s="9"/>
      <c r="G13" s="9"/>
      <c r="H13" s="9"/>
    </row>
    <row r="14" customFormat="false" ht="27.75" hidden="false" customHeight="true" outlineLevel="0" collapsed="false">
      <c r="B14" s="8" t="s">
        <v>14</v>
      </c>
      <c r="C14" s="9" t="s">
        <v>15</v>
      </c>
      <c r="D14" s="9"/>
      <c r="E14" s="9"/>
      <c r="F14" s="9"/>
      <c r="G14" s="9"/>
      <c r="H14" s="9"/>
    </row>
    <row r="15" customFormat="false" ht="27.75" hidden="false" customHeight="true" outlineLevel="0" collapsed="false">
      <c r="B15" s="8" t="s">
        <v>16</v>
      </c>
      <c r="C15" s="9" t="s">
        <v>17</v>
      </c>
      <c r="D15" s="9"/>
      <c r="E15" s="9"/>
      <c r="F15" s="9"/>
      <c r="G15" s="9"/>
      <c r="H15" s="9"/>
    </row>
    <row r="16" customFormat="false" ht="27.75" hidden="false" customHeight="true" outlineLevel="0" collapsed="false">
      <c r="B16" s="8" t="s">
        <v>18</v>
      </c>
      <c r="C16" s="9" t="s">
        <v>19</v>
      </c>
      <c r="D16" s="9"/>
      <c r="E16" s="9"/>
      <c r="F16" s="9"/>
      <c r="G16" s="9"/>
      <c r="H16" s="9"/>
    </row>
    <row r="18" customFormat="false" ht="15" hidden="false" customHeight="false" outlineLevel="0" collapsed="false">
      <c r="B18" s="3" t="s">
        <v>20</v>
      </c>
      <c r="C18" s="4"/>
      <c r="D18" s="4"/>
      <c r="E18" s="4"/>
      <c r="F18" s="4"/>
      <c r="G18" s="4"/>
      <c r="H18" s="4"/>
    </row>
    <row r="20" customFormat="false" ht="15" hidden="false" customHeight="false" outlineLevel="0" collapsed="false">
      <c r="B20" s="10" t="s">
        <v>21</v>
      </c>
    </row>
    <row r="21" customFormat="false" ht="15" hidden="false" customHeight="false" outlineLevel="0" collapsed="false">
      <c r="B21" s="11" t="s">
        <v>22</v>
      </c>
    </row>
    <row r="22" customFormat="false" ht="15" hidden="false" customHeight="false" outlineLevel="0" collapsed="false">
      <c r="B22" s="12" t="s">
        <v>23</v>
      </c>
    </row>
    <row r="24" customFormat="false" ht="15" hidden="false" customHeight="false" outlineLevel="0" collapsed="false">
      <c r="B24" s="3" t="s">
        <v>24</v>
      </c>
      <c r="C24" s="4"/>
      <c r="D24" s="4"/>
      <c r="E24" s="4"/>
      <c r="F24" s="4"/>
      <c r="G24" s="4"/>
      <c r="H24" s="4"/>
    </row>
    <row r="26" customFormat="false" ht="15" hidden="false" customHeight="false" outlineLevel="0" collapsed="false">
      <c r="B26" s="13" t="s">
        <v>25</v>
      </c>
      <c r="C26" s="14" t="n">
        <f aca="false">COUNTIF('Shopping List'!$B$5:$B$316,"?*")</f>
        <v>212</v>
      </c>
    </row>
    <row r="27" customFormat="false" ht="15" hidden="false" customHeight="false" outlineLevel="0" collapsed="false">
      <c r="B27" s="13" t="s">
        <v>26</v>
      </c>
      <c r="C27" s="14" t="n">
        <f aca="false">COUNTIF('Shopping List'!$I$5:$I$316,"&gt;0")</f>
        <v>0</v>
      </c>
    </row>
    <row r="28" customFormat="false" ht="15" hidden="false" customHeight="false" outlineLevel="0" collapsed="false">
      <c r="B28" s="13" t="s">
        <v>27</v>
      </c>
      <c r="C28" s="15" t="n">
        <f aca="false">SUM('Shopping List'!$J$5:$J$316)</f>
        <v>0</v>
      </c>
    </row>
    <row r="29" customFormat="false" ht="15" hidden="false" customHeight="false" outlineLevel="0" collapsed="false">
      <c r="B29" s="13" t="s">
        <v>28</v>
      </c>
      <c r="C29" s="16" t="n">
        <f aca="false">SUM('Shopping List'!$K$5:$K$316)</f>
        <v>0</v>
      </c>
    </row>
    <row r="30" customFormat="false" ht="15" hidden="false" customHeight="false" outlineLevel="0" collapsed="false">
      <c r="B30" s="13" t="s">
        <v>29</v>
      </c>
      <c r="C30" s="15" t="n">
        <f aca="false">SUMIF('Shopping List'!$D$5:$D$316,"*(optional)*",'Shopping List'!$J$5:$J$316)</f>
        <v>0</v>
      </c>
    </row>
    <row r="31" customFormat="false" ht="15" hidden="false" customHeight="false" outlineLevel="0" collapsed="false">
      <c r="B31" s="13" t="s">
        <v>30</v>
      </c>
      <c r="C31" s="14" t="n">
        <f aca="false">COUNTIF('Shopping List'!$M$5:$M$316,"Received")</f>
        <v>0</v>
      </c>
    </row>
    <row r="32" customFormat="false" ht="15" hidden="false" customHeight="false" outlineLevel="0" collapsed="false">
      <c r="B32" s="13" t="s">
        <v>31</v>
      </c>
      <c r="C32" s="17" t="str">
        <f aca="false">Packing!B3&amp;" / "&amp;COUNTIF(Packing!L6:L305,"Y")</f>
        <v>1 / 0</v>
      </c>
    </row>
    <row r="34" customFormat="false" ht="15" hidden="false" customHeight="false" outlineLevel="0" collapsed="false">
      <c r="B34" s="18" t="s">
        <v>32</v>
      </c>
      <c r="C34" s="18" t="s">
        <v>33</v>
      </c>
      <c r="D34" s="18" t="s">
        <v>27</v>
      </c>
      <c r="E34" s="18" t="s">
        <v>28</v>
      </c>
      <c r="F34" s="18" t="s">
        <v>34</v>
      </c>
      <c r="G34" s="18" t="s">
        <v>35</v>
      </c>
    </row>
    <row r="35" customFormat="false" ht="15" hidden="false" customHeight="false" outlineLevel="0" collapsed="false">
      <c r="B35" s="19" t="str">
        <f aca="false">Lists!A2</f>
        <v>Tiles</v>
      </c>
      <c r="C35" s="11" t="n">
        <f aca="false">COUNTIF('Shopping List'!$C$5:$C$316,B35)</f>
        <v>45</v>
      </c>
      <c r="D35" s="20" t="n">
        <f aca="false">SUMIFS('Shopping List'!$J$5:$J$316,'Shopping List'!$C$5:$C$316,B35)</f>
        <v>0</v>
      </c>
      <c r="E35" s="21" t="n">
        <f aca="false">SUMIFS('Shopping List'!$K$5:$K$316,'Shopping List'!$C$5:$C$316,B35)</f>
        <v>0</v>
      </c>
      <c r="F35" s="11" t="n">
        <f aca="false">COUNTIFS('Shopping List'!$C$5:$C$316,B35,'Shopping List'!$I$5:$I$316,"&gt;0")</f>
        <v>0</v>
      </c>
      <c r="G35" s="11" t="n">
        <f aca="false">COUNTIFS('Shopping List'!$C$5:$C$316,B35,'Shopping List'!$M$5:$M$316,"Received")</f>
        <v>0</v>
      </c>
    </row>
    <row r="36" customFormat="false" ht="15" hidden="false" customHeight="false" outlineLevel="0" collapsed="false">
      <c r="B36" s="22" t="str">
        <f aca="false">Lists!A3</f>
        <v>Sanitary</v>
      </c>
      <c r="C36" s="11" t="n">
        <f aca="false">COUNTIF('Shopping List'!$C$5:$C$316,B36)</f>
        <v>66</v>
      </c>
      <c r="D36" s="20" t="n">
        <f aca="false">SUMIFS('Shopping List'!$J$5:$J$316,'Shopping List'!$C$5:$C$316,B36)</f>
        <v>0</v>
      </c>
      <c r="E36" s="21" t="n">
        <f aca="false">SUMIFS('Shopping List'!$K$5:$K$316,'Shopping List'!$C$5:$C$316,B36)</f>
        <v>0</v>
      </c>
      <c r="F36" s="11" t="n">
        <f aca="false">COUNTIFS('Shopping List'!$C$5:$C$316,B36,'Shopping List'!$I$5:$I$316,"&gt;0")</f>
        <v>0</v>
      </c>
      <c r="G36" s="11" t="n">
        <f aca="false">COUNTIFS('Shopping List'!$C$5:$C$316,B36,'Shopping List'!$M$5:$M$316,"Received")</f>
        <v>0</v>
      </c>
    </row>
    <row r="37" customFormat="false" ht="15" hidden="false" customHeight="false" outlineLevel="0" collapsed="false">
      <c r="B37" s="23" t="str">
        <f aca="false">Lists!A4</f>
        <v>Lighting</v>
      </c>
      <c r="C37" s="11" t="n">
        <f aca="false">COUNTIF('Shopping List'!$C$5:$C$316,B37)</f>
        <v>13</v>
      </c>
      <c r="D37" s="20" t="n">
        <f aca="false">SUMIFS('Shopping List'!$J$5:$J$316,'Shopping List'!$C$5:$C$316,B37)</f>
        <v>0</v>
      </c>
      <c r="E37" s="21" t="n">
        <f aca="false">SUMIFS('Shopping List'!$K$5:$K$316,'Shopping List'!$C$5:$C$316,B37)</f>
        <v>0</v>
      </c>
      <c r="F37" s="11" t="n">
        <f aca="false">COUNTIFS('Shopping List'!$C$5:$C$316,B37,'Shopping List'!$I$5:$I$316,"&gt;0")</f>
        <v>0</v>
      </c>
      <c r="G37" s="11" t="n">
        <f aca="false">COUNTIFS('Shopping List'!$C$5:$C$316,B37,'Shopping List'!$M$5:$M$316,"Received")</f>
        <v>0</v>
      </c>
    </row>
    <row r="38" customFormat="false" ht="15" hidden="false" customHeight="false" outlineLevel="0" collapsed="false">
      <c r="B38" s="24" t="str">
        <f aca="false">Lists!A5</f>
        <v>Windows</v>
      </c>
      <c r="C38" s="11" t="n">
        <f aca="false">COUNTIF('Shopping List'!$C$5:$C$316,B38)</f>
        <v>7</v>
      </c>
      <c r="D38" s="20" t="n">
        <f aca="false">SUMIFS('Shopping List'!$J$5:$J$316,'Shopping List'!$C$5:$C$316,B38)</f>
        <v>0</v>
      </c>
      <c r="E38" s="21" t="n">
        <f aca="false">SUMIFS('Shopping List'!$K$5:$K$316,'Shopping List'!$C$5:$C$316,B38)</f>
        <v>0</v>
      </c>
      <c r="F38" s="11" t="n">
        <f aca="false">COUNTIFS('Shopping List'!$C$5:$C$316,B38,'Shopping List'!$I$5:$I$316,"&gt;0")</f>
        <v>0</v>
      </c>
      <c r="G38" s="11" t="n">
        <f aca="false">COUNTIFS('Shopping List'!$C$5:$C$316,B38,'Shopping List'!$M$5:$M$316,"Received")</f>
        <v>0</v>
      </c>
    </row>
    <row r="39" customFormat="false" ht="15" hidden="false" customHeight="false" outlineLevel="0" collapsed="false">
      <c r="B39" s="25" t="str">
        <f aca="false">Lists!A6</f>
        <v>Switches &amp; Sockets</v>
      </c>
      <c r="C39" s="11" t="n">
        <f aca="false">COUNTIF('Shopping List'!$C$5:$C$316,B39)</f>
        <v>15</v>
      </c>
      <c r="D39" s="20" t="n">
        <f aca="false">SUMIFS('Shopping List'!$J$5:$J$316,'Shopping List'!$C$5:$C$316,B39)</f>
        <v>0</v>
      </c>
      <c r="E39" s="21" t="n">
        <f aca="false">SUMIFS('Shopping List'!$K$5:$K$316,'Shopping List'!$C$5:$C$316,B39)</f>
        <v>0</v>
      </c>
      <c r="F39" s="11" t="n">
        <f aca="false">COUNTIFS('Shopping List'!$C$5:$C$316,B39,'Shopping List'!$I$5:$I$316,"&gt;0")</f>
        <v>0</v>
      </c>
      <c r="G39" s="11" t="n">
        <f aca="false">COUNTIFS('Shopping List'!$C$5:$C$316,B39,'Shopping List'!$M$5:$M$316,"Received")</f>
        <v>0</v>
      </c>
    </row>
    <row r="40" customFormat="false" ht="15" hidden="false" customHeight="false" outlineLevel="0" collapsed="false">
      <c r="B40" s="26" t="str">
        <f aca="false">Lists!A7</f>
        <v>Door Hardware</v>
      </c>
      <c r="C40" s="11" t="n">
        <f aca="false">COUNTIF('Shopping List'!$C$5:$C$316,B40)</f>
        <v>18</v>
      </c>
      <c r="D40" s="20" t="n">
        <f aca="false">SUMIFS('Shopping List'!$J$5:$J$316,'Shopping List'!$C$5:$C$316,B40)</f>
        <v>0</v>
      </c>
      <c r="E40" s="21" t="n">
        <f aca="false">SUMIFS('Shopping List'!$K$5:$K$316,'Shopping List'!$C$5:$C$316,B40)</f>
        <v>0</v>
      </c>
      <c r="F40" s="11" t="n">
        <f aca="false">COUNTIFS('Shopping List'!$C$5:$C$316,B40,'Shopping List'!$I$5:$I$316,"&gt;0")</f>
        <v>0</v>
      </c>
      <c r="G40" s="11" t="n">
        <f aca="false">COUNTIFS('Shopping List'!$C$5:$C$316,B40,'Shopping List'!$M$5:$M$316,"Received")</f>
        <v>0</v>
      </c>
    </row>
    <row r="41" customFormat="false" ht="15" hidden="false" customHeight="false" outlineLevel="0" collapsed="false">
      <c r="B41" s="27" t="str">
        <f aca="false">Lists!A8</f>
        <v>Kitchen</v>
      </c>
      <c r="C41" s="11" t="n">
        <f aca="false">COUNTIF('Shopping List'!$C$5:$C$316,B41)</f>
        <v>14</v>
      </c>
      <c r="D41" s="20" t="n">
        <f aca="false">SUMIFS('Shopping List'!$J$5:$J$316,'Shopping List'!$C$5:$C$316,B41)</f>
        <v>0</v>
      </c>
      <c r="E41" s="21" t="n">
        <f aca="false">SUMIFS('Shopping List'!$K$5:$K$316,'Shopping List'!$C$5:$C$316,B41)</f>
        <v>0</v>
      </c>
      <c r="F41" s="11" t="n">
        <f aca="false">COUNTIFS('Shopping List'!$C$5:$C$316,B41,'Shopping List'!$I$5:$I$316,"&gt;0")</f>
        <v>0</v>
      </c>
      <c r="G41" s="11" t="n">
        <f aca="false">COUNTIFS('Shopping List'!$C$5:$C$316,B41,'Shopping List'!$M$5:$M$316,"Received")</f>
        <v>0</v>
      </c>
    </row>
    <row r="42" customFormat="false" ht="15" hidden="false" customHeight="false" outlineLevel="0" collapsed="false">
      <c r="B42" s="28" t="str">
        <f aca="false">Lists!A9</f>
        <v>Dining</v>
      </c>
      <c r="C42" s="11" t="n">
        <f aca="false">COUNTIF('Shopping List'!$C$5:$C$316,B42)</f>
        <v>4</v>
      </c>
      <c r="D42" s="20" t="n">
        <f aca="false">SUMIFS('Shopping List'!$J$5:$J$316,'Shopping List'!$C$5:$C$316,B42)</f>
        <v>0</v>
      </c>
      <c r="E42" s="21" t="n">
        <f aca="false">SUMIFS('Shopping List'!$K$5:$K$316,'Shopping List'!$C$5:$C$316,B42)</f>
        <v>0</v>
      </c>
      <c r="F42" s="11" t="n">
        <f aca="false">COUNTIFS('Shopping List'!$C$5:$C$316,B42,'Shopping List'!$I$5:$I$316,"&gt;0")</f>
        <v>0</v>
      </c>
      <c r="G42" s="11" t="n">
        <f aca="false">COUNTIFS('Shopping List'!$C$5:$C$316,B42,'Shopping List'!$M$5:$M$316,"Received")</f>
        <v>0</v>
      </c>
    </row>
    <row r="43" customFormat="false" ht="15" hidden="false" customHeight="false" outlineLevel="0" collapsed="false">
      <c r="B43" s="29" t="str">
        <f aca="false">Lists!A10</f>
        <v>Living Room</v>
      </c>
      <c r="C43" s="11" t="n">
        <f aca="false">COUNTIF('Shopping List'!$C$5:$C$316,B43)</f>
        <v>6</v>
      </c>
      <c r="D43" s="20" t="n">
        <f aca="false">SUMIFS('Shopping List'!$J$5:$J$316,'Shopping List'!$C$5:$C$316,B43)</f>
        <v>0</v>
      </c>
      <c r="E43" s="21" t="n">
        <f aca="false">SUMIFS('Shopping List'!$K$5:$K$316,'Shopping List'!$C$5:$C$316,B43)</f>
        <v>0</v>
      </c>
      <c r="F43" s="11" t="n">
        <f aca="false">COUNTIFS('Shopping List'!$C$5:$C$316,B43,'Shopping List'!$I$5:$I$316,"&gt;0")</f>
        <v>0</v>
      </c>
      <c r="G43" s="11" t="n">
        <f aca="false">COUNTIFS('Shopping List'!$C$5:$C$316,B43,'Shopping List'!$M$5:$M$316,"Received")</f>
        <v>0</v>
      </c>
    </row>
    <row r="44" customFormat="false" ht="15" hidden="false" customHeight="false" outlineLevel="0" collapsed="false">
      <c r="B44" s="30" t="str">
        <f aca="false">Lists!A11</f>
        <v>Master Bedroom</v>
      </c>
      <c r="C44" s="11" t="n">
        <f aca="false">COUNTIF('Shopping List'!$C$5:$C$316,B44)</f>
        <v>10</v>
      </c>
      <c r="D44" s="20" t="n">
        <f aca="false">SUMIFS('Shopping List'!$J$5:$J$316,'Shopping List'!$C$5:$C$316,B44)</f>
        <v>0</v>
      </c>
      <c r="E44" s="21" t="n">
        <f aca="false">SUMIFS('Shopping List'!$K$5:$K$316,'Shopping List'!$C$5:$C$316,B44)</f>
        <v>0</v>
      </c>
      <c r="F44" s="11" t="n">
        <f aca="false">COUNTIFS('Shopping List'!$C$5:$C$316,B44,'Shopping List'!$I$5:$I$316,"&gt;0")</f>
        <v>0</v>
      </c>
      <c r="G44" s="11" t="n">
        <f aca="false">COUNTIFS('Shopping List'!$C$5:$C$316,B44,'Shopping List'!$M$5:$M$316,"Received")</f>
        <v>0</v>
      </c>
    </row>
    <row r="45" customFormat="false" ht="15" hidden="false" customHeight="false" outlineLevel="0" collapsed="false">
      <c r="B45" s="31" t="str">
        <f aca="false">Lists!A12</f>
        <v>Water Treatment (RO)</v>
      </c>
      <c r="C45" s="11" t="n">
        <f aca="false">COUNTIF('Shopping List'!$C$5:$C$316,B45)</f>
        <v>9</v>
      </c>
      <c r="D45" s="20" t="n">
        <f aca="false">SUMIFS('Shopping List'!$J$5:$J$316,'Shopping List'!$C$5:$C$316,B45)</f>
        <v>0</v>
      </c>
      <c r="E45" s="21" t="n">
        <f aca="false">SUMIFS('Shopping List'!$K$5:$K$316,'Shopping List'!$C$5:$C$316,B45)</f>
        <v>0</v>
      </c>
      <c r="F45" s="11" t="n">
        <f aca="false">COUNTIFS('Shopping List'!$C$5:$C$316,B45,'Shopping List'!$I$5:$I$316,"&gt;0")</f>
        <v>0</v>
      </c>
      <c r="G45" s="11" t="n">
        <f aca="false">COUNTIFS('Shopping List'!$C$5:$C$316,B45,'Shopping List'!$M$5:$M$316,"Received")</f>
        <v>0</v>
      </c>
    </row>
    <row r="46" customFormat="false" ht="15" hidden="false" customHeight="false" outlineLevel="0" collapsed="false">
      <c r="B46" s="32" t="str">
        <f aca="false">Lists!A13</f>
        <v>Tools &amp; Spares</v>
      </c>
      <c r="C46" s="11" t="n">
        <f aca="false">COUNTIF('Shopping List'!$C$5:$C$316,B46)</f>
        <v>5</v>
      </c>
      <c r="D46" s="20" t="n">
        <f aca="false">SUMIFS('Shopping List'!$J$5:$J$316,'Shopping List'!$C$5:$C$316,B46)</f>
        <v>0</v>
      </c>
      <c r="E46" s="21" t="n">
        <f aca="false">SUMIFS('Shopping List'!$K$5:$K$316,'Shopping List'!$C$5:$C$316,B46)</f>
        <v>0</v>
      </c>
      <c r="F46" s="11" t="n">
        <f aca="false">COUNTIFS('Shopping List'!$C$5:$C$316,B46,'Shopping List'!$I$5:$I$316,"&gt;0")</f>
        <v>0</v>
      </c>
      <c r="G46" s="11" t="n">
        <f aca="false">COUNTIFS('Shopping List'!$C$5:$C$316,B46,'Shopping List'!$M$5:$M$316,"Received")</f>
        <v>0</v>
      </c>
    </row>
    <row r="47" customFormat="false" ht="15" hidden="false" customHeight="false" outlineLevel="0" collapsed="false">
      <c r="B47" s="5" t="s">
        <v>36</v>
      </c>
      <c r="C47" s="33" t="n">
        <f aca="false">SUM(C35:C46)</f>
        <v>212</v>
      </c>
      <c r="D47" s="34" t="n">
        <f aca="false">SUM(D35:D46)</f>
        <v>0</v>
      </c>
      <c r="E47" s="35" t="n">
        <f aca="false">SUM(E35:E46)</f>
        <v>0</v>
      </c>
      <c r="F47" s="33" t="n">
        <f aca="false">SUM(F35:F46)</f>
        <v>0</v>
      </c>
      <c r="G47" s="33" t="n">
        <f aca="false">SUM(G35:G46)</f>
        <v>0</v>
      </c>
    </row>
    <row r="49" customFormat="false" ht="15" hidden="false" customHeight="false" outlineLevel="0" collapsed="false">
      <c r="B49" s="3" t="s">
        <v>37</v>
      </c>
      <c r="C49" s="4"/>
      <c r="D49" s="4"/>
      <c r="E49" s="4"/>
      <c r="F49" s="4"/>
      <c r="G49" s="4"/>
      <c r="H49" s="4"/>
    </row>
    <row r="51" customFormat="false" ht="15" hidden="false" customHeight="true" outlineLevel="0" collapsed="false">
      <c r="B51" s="36" t="s">
        <v>38</v>
      </c>
      <c r="C51" s="36"/>
      <c r="D51" s="36"/>
      <c r="E51" s="36"/>
      <c r="F51" s="36"/>
      <c r="G51" s="36"/>
      <c r="H51" s="36"/>
    </row>
    <row r="52" customFormat="false" ht="15" hidden="false" customHeight="true" outlineLevel="0" collapsed="false">
      <c r="B52" s="36" t="s">
        <v>39</v>
      </c>
      <c r="C52" s="36"/>
      <c r="D52" s="36"/>
      <c r="E52" s="36"/>
      <c r="F52" s="36"/>
      <c r="G52" s="36"/>
      <c r="H52" s="36"/>
    </row>
    <row r="53" customFormat="false" ht="15" hidden="false" customHeight="true" outlineLevel="0" collapsed="false">
      <c r="B53" s="36" t="s">
        <v>40</v>
      </c>
      <c r="C53" s="36"/>
      <c r="D53" s="36"/>
      <c r="E53" s="36"/>
      <c r="F53" s="36"/>
      <c r="G53" s="36"/>
      <c r="H53" s="36"/>
    </row>
    <row r="54" customFormat="false" ht="15" hidden="false" customHeight="true" outlineLevel="0" collapsed="false">
      <c r="B54" s="36" t="s">
        <v>41</v>
      </c>
      <c r="C54" s="36"/>
      <c r="D54" s="36"/>
      <c r="E54" s="36"/>
      <c r="F54" s="36"/>
      <c r="G54" s="36"/>
      <c r="H54" s="36"/>
    </row>
    <row r="55" customFormat="false" ht="15" hidden="false" customHeight="true" outlineLevel="0" collapsed="false">
      <c r="B55" s="36" t="s">
        <v>42</v>
      </c>
      <c r="C55" s="36"/>
      <c r="D55" s="36"/>
      <c r="E55" s="36"/>
      <c r="F55" s="36"/>
      <c r="G55" s="36"/>
      <c r="H55" s="36"/>
    </row>
    <row r="56" customFormat="false" ht="15" hidden="false" customHeight="true" outlineLevel="0" collapsed="false">
      <c r="B56" s="36" t="s">
        <v>43</v>
      </c>
      <c r="C56" s="36"/>
      <c r="D56" s="36"/>
      <c r="E56" s="36"/>
      <c r="F56" s="36"/>
      <c r="G56" s="36"/>
      <c r="H56" s="36"/>
    </row>
    <row r="57" customFormat="false" ht="15" hidden="false" customHeight="true" outlineLevel="0" collapsed="false">
      <c r="B57" s="36" t="s">
        <v>44</v>
      </c>
      <c r="C57" s="36"/>
      <c r="D57" s="36"/>
      <c r="E57" s="36"/>
      <c r="F57" s="36"/>
      <c r="G57" s="36"/>
      <c r="H57" s="36"/>
    </row>
  </sheetData>
  <mergeCells count="13">
    <mergeCell ref="C11:H11"/>
    <mergeCell ref="C12:H12"/>
    <mergeCell ref="C13:H13"/>
    <mergeCell ref="C14:H14"/>
    <mergeCell ref="C15:H15"/>
    <mergeCell ref="C16:H16"/>
    <mergeCell ref="B51:H51"/>
    <mergeCell ref="B52:H52"/>
    <mergeCell ref="B53:H53"/>
    <mergeCell ref="B54:H54"/>
    <mergeCell ref="B55:H55"/>
    <mergeCell ref="B56:H56"/>
    <mergeCell ref="B57:H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5F"/>
    <pageSetUpPr fitToPage="false"/>
  </sheetPr>
  <dimension ref="A1:O3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0"/>
    <col collapsed="false" customWidth="true" hidden="false" outlineLevel="0" max="3" min="3" style="0" width="17"/>
    <col collapsed="false" customWidth="true" hidden="false" outlineLevel="0" max="4" min="4" style="0" width="42"/>
    <col collapsed="false" customWidth="true" hidden="false" outlineLevel="0" max="5" min="5" style="0" width="50"/>
    <col collapsed="false" customWidth="true" hidden="false" outlineLevel="0" max="6" min="6" style="0" width="28"/>
    <col collapsed="false" customWidth="true" hidden="false" outlineLevel="0" max="7" min="7" style="0" width="8"/>
    <col collapsed="false" customWidth="true" hidden="false" outlineLevel="0" max="8" min="8" style="0" width="6"/>
    <col collapsed="false" customWidth="true" hidden="false" outlineLevel="0" max="9" min="9" style="0" width="11"/>
    <col collapsed="false" customWidth="true" hidden="false" outlineLevel="0" max="10" min="10" style="0" width="13"/>
    <col collapsed="false" customWidth="true" hidden="false" outlineLevel="0" max="11" min="11" style="0" width="12"/>
    <col collapsed="false" customWidth="true" hidden="false" outlineLevel="0" max="12" min="12" style="0" width="16"/>
    <col collapsed="false" customWidth="true" hidden="false" outlineLevel="0" max="13" min="13" style="0" width="11"/>
    <col collapsed="false" customWidth="true" hidden="false" outlineLevel="0" max="14" min="14" style="0" width="44"/>
    <col collapsed="false" customWidth="true" hidden="true" outlineLevel="0" max="15" min="15" style="0" width="4"/>
  </cols>
  <sheetData>
    <row r="1" customFormat="false" ht="18.55" hidden="false" customHeight="false" outlineLevel="0" collapsed="false">
      <c r="A1" s="37" t="s">
        <v>8</v>
      </c>
    </row>
    <row r="2" customFormat="false" ht="15" hidden="false" customHeight="false" outlineLevel="0" collapsed="false">
      <c r="A2" s="2" t="s">
        <v>45</v>
      </c>
    </row>
    <row r="4" customFormat="false" ht="27.75" hidden="false" customHeight="true" outlineLevel="0" collapsed="false">
      <c r="A4" s="38" t="s">
        <v>46</v>
      </c>
      <c r="B4" s="38" t="s">
        <v>47</v>
      </c>
      <c r="C4" s="38" t="s">
        <v>48</v>
      </c>
      <c r="D4" s="38" t="s">
        <v>49</v>
      </c>
      <c r="E4" s="38" t="s">
        <v>50</v>
      </c>
      <c r="F4" s="38" t="s">
        <v>51</v>
      </c>
      <c r="G4" s="38" t="s">
        <v>52</v>
      </c>
      <c r="H4" s="38" t="s">
        <v>53</v>
      </c>
      <c r="I4" s="38" t="s">
        <v>54</v>
      </c>
      <c r="J4" s="38" t="s">
        <v>27</v>
      </c>
      <c r="K4" s="38" t="s">
        <v>28</v>
      </c>
      <c r="L4" s="38" t="s">
        <v>55</v>
      </c>
      <c r="M4" s="38" t="s">
        <v>56</v>
      </c>
      <c r="N4" s="38" t="s">
        <v>57</v>
      </c>
      <c r="O4" s="38" t="s">
        <v>58</v>
      </c>
    </row>
    <row r="5" customFormat="false" ht="23.85" hidden="false" customHeight="false" outlineLevel="0" collapsed="false">
      <c r="A5" s="39" t="s">
        <v>59</v>
      </c>
      <c r="B5" s="39" t="s">
        <v>60</v>
      </c>
      <c r="C5" s="39" t="s">
        <v>61</v>
      </c>
      <c r="D5" s="40" t="s">
        <v>62</v>
      </c>
      <c r="E5" s="40" t="s">
        <v>63</v>
      </c>
      <c r="F5" s="40" t="s">
        <v>64</v>
      </c>
      <c r="G5" s="41" t="n">
        <f aca="false">ROUNDUP(INDEX(Rooms!$C$5:$C$47,MATCH(B5,Rooms!$A$5:$A$47,0))*(1+'Start Here'!$C$7),0)</f>
        <v>5</v>
      </c>
      <c r="H5" s="39" t="s">
        <v>65</v>
      </c>
      <c r="I5" s="42"/>
      <c r="J5" s="43" t="str">
        <f aca="false">IF(OR(I5="",G5=""),"",G5*I5)</f>
        <v/>
      </c>
      <c r="K5" s="44" t="str">
        <f aca="false">IF(J5="","",J5/'Start Here'!$C$6)</f>
        <v/>
      </c>
      <c r="L5" s="45"/>
      <c r="M5" s="45" t="s">
        <v>66</v>
      </c>
      <c r="N5" s="40" t="s">
        <v>67</v>
      </c>
      <c r="O5" s="46" t="str">
        <f aca="false">IF(B5="","",IF(B5='By Room'!$C$4,COUNTIF($B$5:B5,'By Room'!$C$4),""))</f>
        <v/>
      </c>
    </row>
    <row r="6" customFormat="false" ht="23.85" hidden="false" customHeight="false" outlineLevel="0" collapsed="false">
      <c r="A6" s="39" t="s">
        <v>68</v>
      </c>
      <c r="B6" s="39" t="s">
        <v>69</v>
      </c>
      <c r="C6" s="39" t="s">
        <v>61</v>
      </c>
      <c r="D6" s="40" t="s">
        <v>62</v>
      </c>
      <c r="E6" s="40" t="s">
        <v>63</v>
      </c>
      <c r="F6" s="40" t="s">
        <v>64</v>
      </c>
      <c r="G6" s="41" t="n">
        <f aca="false">ROUNDUP(INDEX(Rooms!$C$5:$C$47,MATCH(B6,Rooms!$A$5:$A$47,0))*(1+'Start Here'!$C$7),0)</f>
        <v>51</v>
      </c>
      <c r="H6" s="39" t="s">
        <v>65</v>
      </c>
      <c r="I6" s="42"/>
      <c r="J6" s="43" t="str">
        <f aca="false">IF(OR(I6="",G6=""),"",G6*I6)</f>
        <v/>
      </c>
      <c r="K6" s="44" t="str">
        <f aca="false">IF(J6="","",J6/'Start Here'!$C$6)</f>
        <v/>
      </c>
      <c r="L6" s="45"/>
      <c r="M6" s="45" t="s">
        <v>66</v>
      </c>
      <c r="N6" s="40" t="s">
        <v>67</v>
      </c>
      <c r="O6" s="46" t="str">
        <f aca="false">IF(B6="","",IF(B6='By Room'!$C$4,COUNTIF($B$5:B6,'By Room'!$C$4),""))</f>
        <v/>
      </c>
    </row>
    <row r="7" customFormat="false" ht="23.85" hidden="false" customHeight="false" outlineLevel="0" collapsed="false">
      <c r="A7" s="39" t="s">
        <v>70</v>
      </c>
      <c r="B7" s="39" t="s">
        <v>71</v>
      </c>
      <c r="C7" s="39" t="s">
        <v>61</v>
      </c>
      <c r="D7" s="40" t="s">
        <v>62</v>
      </c>
      <c r="E7" s="40" t="s">
        <v>63</v>
      </c>
      <c r="F7" s="40" t="s">
        <v>64</v>
      </c>
      <c r="G7" s="41" t="n">
        <f aca="false">ROUNDUP(INDEX(Rooms!$C$5:$C$47,MATCH(B7,Rooms!$A$5:$A$47,0))*(1+'Start Here'!$C$7),0)</f>
        <v>32</v>
      </c>
      <c r="H7" s="39" t="s">
        <v>65</v>
      </c>
      <c r="I7" s="42"/>
      <c r="J7" s="43" t="str">
        <f aca="false">IF(OR(I7="",G7=""),"",G7*I7)</f>
        <v/>
      </c>
      <c r="K7" s="44" t="str">
        <f aca="false">IF(J7="","",J7/'Start Here'!$C$6)</f>
        <v/>
      </c>
      <c r="L7" s="45"/>
      <c r="M7" s="45" t="s">
        <v>66</v>
      </c>
      <c r="N7" s="40" t="s">
        <v>67</v>
      </c>
      <c r="O7" s="46" t="str">
        <f aca="false">IF(B7="","",IF(B7='By Room'!$C$4,COUNTIF($B$5:B7,'By Room'!$C$4),""))</f>
        <v/>
      </c>
    </row>
    <row r="8" customFormat="false" ht="23.85" hidden="false" customHeight="false" outlineLevel="0" collapsed="false">
      <c r="A8" s="39" t="s">
        <v>72</v>
      </c>
      <c r="B8" s="39" t="s">
        <v>73</v>
      </c>
      <c r="C8" s="39" t="s">
        <v>61</v>
      </c>
      <c r="D8" s="40" t="s">
        <v>62</v>
      </c>
      <c r="E8" s="40" t="s">
        <v>63</v>
      </c>
      <c r="F8" s="40" t="s">
        <v>64</v>
      </c>
      <c r="G8" s="41" t="n">
        <f aca="false">ROUNDUP(INDEX(Rooms!$C$5:$C$47,MATCH(B8,Rooms!$A$5:$A$47,0))*(1+'Start Here'!$C$7),0)</f>
        <v>33</v>
      </c>
      <c r="H8" s="39" t="s">
        <v>65</v>
      </c>
      <c r="I8" s="42"/>
      <c r="J8" s="43" t="str">
        <f aca="false">IF(OR(I8="",G8=""),"",G8*I8)</f>
        <v/>
      </c>
      <c r="K8" s="44" t="str">
        <f aca="false">IF(J8="","",J8/'Start Here'!$C$6)</f>
        <v/>
      </c>
      <c r="L8" s="45"/>
      <c r="M8" s="45" t="s">
        <v>66</v>
      </c>
      <c r="N8" s="40" t="s">
        <v>67</v>
      </c>
      <c r="O8" s="46" t="str">
        <f aca="false">IF(B8="","",IF(B8='By Room'!$C$4,COUNTIF($B$5:B8,'By Room'!$C$4),""))</f>
        <v/>
      </c>
    </row>
    <row r="9" customFormat="false" ht="23.85" hidden="false" customHeight="false" outlineLevel="0" collapsed="false">
      <c r="A9" s="39" t="s">
        <v>74</v>
      </c>
      <c r="B9" s="39" t="s">
        <v>75</v>
      </c>
      <c r="C9" s="39" t="s">
        <v>61</v>
      </c>
      <c r="D9" s="40" t="s">
        <v>62</v>
      </c>
      <c r="E9" s="40" t="s">
        <v>63</v>
      </c>
      <c r="F9" s="40" t="s">
        <v>64</v>
      </c>
      <c r="G9" s="41" t="n">
        <f aca="false">ROUNDUP(INDEX(Rooms!$C$5:$C$47,MATCH(B9,Rooms!$A$5:$A$47,0))*(1+'Start Here'!$C$7),0)</f>
        <v>25</v>
      </c>
      <c r="H9" s="39" t="s">
        <v>65</v>
      </c>
      <c r="I9" s="42"/>
      <c r="J9" s="43" t="str">
        <f aca="false">IF(OR(I9="",G9=""),"",G9*I9)</f>
        <v/>
      </c>
      <c r="K9" s="44" t="str">
        <f aca="false">IF(J9="","",J9/'Start Here'!$C$6)</f>
        <v/>
      </c>
      <c r="L9" s="45"/>
      <c r="M9" s="45" t="s">
        <v>66</v>
      </c>
      <c r="N9" s="40" t="s">
        <v>67</v>
      </c>
      <c r="O9" s="46" t="n">
        <f aca="false">IF(B9="","",IF(B9='By Room'!$C$4,COUNTIF($B$5:B9,'By Room'!$C$4),""))</f>
        <v>1</v>
      </c>
    </row>
    <row r="10" customFormat="false" ht="15" hidden="false" customHeight="false" outlineLevel="0" collapsed="false">
      <c r="A10" s="39" t="s">
        <v>76</v>
      </c>
      <c r="B10" s="39" t="s">
        <v>75</v>
      </c>
      <c r="C10" s="39" t="s">
        <v>61</v>
      </c>
      <c r="D10" s="40" t="s">
        <v>77</v>
      </c>
      <c r="E10" s="40" t="s">
        <v>78</v>
      </c>
      <c r="F10" s="40" t="s">
        <v>79</v>
      </c>
      <c r="G10" s="41" t="n">
        <f aca="false">ROUNDUP(INDEX(Rooms!$D$5:$D$47,MATCH(B10,Rooms!$A$5:$A$47,0))*(1+'Start Here'!$C$7),0)</f>
        <v>7</v>
      </c>
      <c r="H10" s="39" t="s">
        <v>65</v>
      </c>
      <c r="I10" s="42"/>
      <c r="J10" s="43" t="str">
        <f aca="false">IF(OR(I10="",G10=""),"",G10*I10)</f>
        <v/>
      </c>
      <c r="K10" s="44" t="str">
        <f aca="false">IF(J10="","",J10/'Start Here'!$C$6)</f>
        <v/>
      </c>
      <c r="L10" s="45"/>
      <c r="M10" s="45" t="s">
        <v>66</v>
      </c>
      <c r="N10" s="40" t="s">
        <v>80</v>
      </c>
      <c r="O10" s="46" t="n">
        <f aca="false">IF(B10="","",IF(B10='By Room'!$C$4,COUNTIF($B$5:B10,'By Room'!$C$4),""))</f>
        <v>2</v>
      </c>
    </row>
    <row r="11" customFormat="false" ht="23.85" hidden="false" customHeight="false" outlineLevel="0" collapsed="false">
      <c r="A11" s="39" t="s">
        <v>81</v>
      </c>
      <c r="B11" s="39" t="s">
        <v>82</v>
      </c>
      <c r="C11" s="39" t="s">
        <v>61</v>
      </c>
      <c r="D11" s="40" t="s">
        <v>62</v>
      </c>
      <c r="E11" s="40" t="s">
        <v>63</v>
      </c>
      <c r="F11" s="40" t="s">
        <v>64</v>
      </c>
      <c r="G11" s="41" t="n">
        <f aca="false">ROUNDUP(INDEX(Rooms!$C$5:$C$47,MATCH(B11,Rooms!$A$5:$A$47,0))*(1+'Start Here'!$C$7),0)</f>
        <v>8</v>
      </c>
      <c r="H11" s="39" t="s">
        <v>65</v>
      </c>
      <c r="I11" s="42"/>
      <c r="J11" s="43" t="str">
        <f aca="false">IF(OR(I11="",G11=""),"",G11*I11)</f>
        <v/>
      </c>
      <c r="K11" s="44" t="str">
        <f aca="false">IF(J11="","",J11/'Start Here'!$C$6)</f>
        <v/>
      </c>
      <c r="L11" s="45"/>
      <c r="M11" s="45" t="s">
        <v>66</v>
      </c>
      <c r="N11" s="40" t="s">
        <v>67</v>
      </c>
      <c r="O11" s="46" t="str">
        <f aca="false">IF(B11="","",IF(B11='By Room'!$C$4,COUNTIF($B$5:B11,'By Room'!$C$4),""))</f>
        <v/>
      </c>
    </row>
    <row r="12" customFormat="false" ht="23.85" hidden="false" customHeight="false" outlineLevel="0" collapsed="false">
      <c r="A12" s="39" t="s">
        <v>83</v>
      </c>
      <c r="B12" s="39" t="s">
        <v>84</v>
      </c>
      <c r="C12" s="39" t="s">
        <v>61</v>
      </c>
      <c r="D12" s="40" t="s">
        <v>62</v>
      </c>
      <c r="E12" s="40" t="s">
        <v>63</v>
      </c>
      <c r="F12" s="40" t="s">
        <v>64</v>
      </c>
      <c r="G12" s="41" t="n">
        <f aca="false">ROUNDUP(INDEX(Rooms!$C$5:$C$47,MATCH(B12,Rooms!$A$5:$A$47,0))*(1+'Start Here'!$C$7),0)</f>
        <v>7</v>
      </c>
      <c r="H12" s="39" t="s">
        <v>65</v>
      </c>
      <c r="I12" s="42"/>
      <c r="J12" s="43" t="str">
        <f aca="false">IF(OR(I12="",G12=""),"",G12*I12)</f>
        <v/>
      </c>
      <c r="K12" s="44" t="str">
        <f aca="false">IF(J12="","",J12/'Start Here'!$C$6)</f>
        <v/>
      </c>
      <c r="L12" s="45"/>
      <c r="M12" s="45" t="s">
        <v>66</v>
      </c>
      <c r="N12" s="40" t="s">
        <v>67</v>
      </c>
      <c r="O12" s="46" t="str">
        <f aca="false">IF(B12="","",IF(B12='By Room'!$C$4,COUNTIF($B$5:B12,'By Room'!$C$4),""))</f>
        <v/>
      </c>
    </row>
    <row r="13" customFormat="false" ht="23.85" hidden="false" customHeight="false" outlineLevel="0" collapsed="false">
      <c r="A13" s="39" t="s">
        <v>85</v>
      </c>
      <c r="B13" s="39" t="s">
        <v>86</v>
      </c>
      <c r="C13" s="39" t="s">
        <v>61</v>
      </c>
      <c r="D13" s="40" t="s">
        <v>62</v>
      </c>
      <c r="E13" s="40" t="s">
        <v>63</v>
      </c>
      <c r="F13" s="40" t="s">
        <v>64</v>
      </c>
      <c r="G13" s="41" t="n">
        <f aca="false">ROUNDUP(INDEX(Rooms!$C$5:$C$47,MATCH(B13,Rooms!$A$5:$A$47,0))*(1+'Start Here'!$C$7),0)</f>
        <v>9</v>
      </c>
      <c r="H13" s="39" t="s">
        <v>65</v>
      </c>
      <c r="I13" s="42"/>
      <c r="J13" s="43" t="str">
        <f aca="false">IF(OR(I13="",G13=""),"",G13*I13)</f>
        <v/>
      </c>
      <c r="K13" s="44" t="str">
        <f aca="false">IF(J13="","",J13/'Start Here'!$C$6)</f>
        <v/>
      </c>
      <c r="L13" s="45"/>
      <c r="M13" s="45" t="s">
        <v>66</v>
      </c>
      <c r="N13" s="40" t="s">
        <v>67</v>
      </c>
      <c r="O13" s="46" t="str">
        <f aca="false">IF(B13="","",IF(B13='By Room'!$C$4,COUNTIF($B$5:B13,'By Room'!$C$4),""))</f>
        <v/>
      </c>
    </row>
    <row r="14" customFormat="false" ht="23.85" hidden="false" customHeight="false" outlineLevel="0" collapsed="false">
      <c r="A14" s="39" t="s">
        <v>87</v>
      </c>
      <c r="B14" s="39" t="s">
        <v>88</v>
      </c>
      <c r="C14" s="39" t="s">
        <v>61</v>
      </c>
      <c r="D14" s="40" t="s">
        <v>62</v>
      </c>
      <c r="E14" s="40" t="s">
        <v>63</v>
      </c>
      <c r="F14" s="40" t="s">
        <v>64</v>
      </c>
      <c r="G14" s="41" t="n">
        <f aca="false">ROUNDUP(INDEX(Rooms!$C$5:$C$47,MATCH(B14,Rooms!$A$5:$A$47,0))*(1+'Start Here'!$C$7),0)</f>
        <v>10</v>
      </c>
      <c r="H14" s="39" t="s">
        <v>65</v>
      </c>
      <c r="I14" s="42"/>
      <c r="J14" s="43" t="str">
        <f aca="false">IF(OR(I14="",G14=""),"",G14*I14)</f>
        <v/>
      </c>
      <c r="K14" s="44" t="str">
        <f aca="false">IF(J14="","",J14/'Start Here'!$C$6)</f>
        <v/>
      </c>
      <c r="L14" s="45"/>
      <c r="M14" s="45" t="s">
        <v>66</v>
      </c>
      <c r="N14" s="40" t="s">
        <v>67</v>
      </c>
      <c r="O14" s="46" t="str">
        <f aca="false">IF(B14="","",IF(B14='By Room'!$C$4,COUNTIF($B$5:B14,'By Room'!$C$4),""))</f>
        <v/>
      </c>
    </row>
    <row r="15" customFormat="false" ht="23.85" hidden="false" customHeight="false" outlineLevel="0" collapsed="false">
      <c r="A15" s="39" t="s">
        <v>89</v>
      </c>
      <c r="B15" s="39" t="s">
        <v>90</v>
      </c>
      <c r="C15" s="39" t="s">
        <v>61</v>
      </c>
      <c r="D15" s="40" t="s">
        <v>62</v>
      </c>
      <c r="E15" s="40" t="s">
        <v>63</v>
      </c>
      <c r="F15" s="40" t="s">
        <v>64</v>
      </c>
      <c r="G15" s="41" t="n">
        <f aca="false">ROUNDUP(INDEX(Rooms!$C$5:$C$47,MATCH(B15,Rooms!$A$5:$A$47,0))*(1+'Start Here'!$C$7),0)</f>
        <v>19</v>
      </c>
      <c r="H15" s="39" t="s">
        <v>65</v>
      </c>
      <c r="I15" s="42"/>
      <c r="J15" s="43" t="str">
        <f aca="false">IF(OR(I15="",G15=""),"",G15*I15)</f>
        <v/>
      </c>
      <c r="K15" s="44" t="str">
        <f aca="false">IF(J15="","",J15/'Start Here'!$C$6)</f>
        <v/>
      </c>
      <c r="L15" s="45"/>
      <c r="M15" s="45" t="s">
        <v>66</v>
      </c>
      <c r="N15" s="40" t="s">
        <v>67</v>
      </c>
      <c r="O15" s="46" t="str">
        <f aca="false">IF(B15="","",IF(B15='By Room'!$C$4,COUNTIF($B$5:B15,'By Room'!$C$4),""))</f>
        <v/>
      </c>
    </row>
    <row r="16" customFormat="false" ht="15" hidden="false" customHeight="false" outlineLevel="0" collapsed="false">
      <c r="A16" s="39" t="s">
        <v>91</v>
      </c>
      <c r="B16" s="39" t="s">
        <v>92</v>
      </c>
      <c r="C16" s="39" t="s">
        <v>61</v>
      </c>
      <c r="D16" s="40" t="s">
        <v>93</v>
      </c>
      <c r="E16" s="40" t="s">
        <v>94</v>
      </c>
      <c r="F16" s="40" t="s">
        <v>95</v>
      </c>
      <c r="G16" s="41" t="n">
        <f aca="false">ROUNDUP(INDEX(Rooms!$C$5:$C$47,MATCH(B16,Rooms!$A$5:$A$47,0))*(1+'Start Here'!$C$7),0)</f>
        <v>7</v>
      </c>
      <c r="H16" s="39" t="s">
        <v>65</v>
      </c>
      <c r="I16" s="42"/>
      <c r="J16" s="43" t="str">
        <f aca="false">IF(OR(I16="",G16=""),"",G16*I16)</f>
        <v/>
      </c>
      <c r="K16" s="44" t="str">
        <f aca="false">IF(J16="","",J16/'Start Here'!$C$6)</f>
        <v/>
      </c>
      <c r="L16" s="45"/>
      <c r="M16" s="45" t="s">
        <v>66</v>
      </c>
      <c r="N16" s="40" t="s">
        <v>80</v>
      </c>
      <c r="O16" s="46" t="str">
        <f aca="false">IF(B16="","",IF(B16='By Room'!$C$4,COUNTIF($B$5:B16,'By Room'!$C$4),""))</f>
        <v/>
      </c>
    </row>
    <row r="17" customFormat="false" ht="15" hidden="false" customHeight="false" outlineLevel="0" collapsed="false">
      <c r="A17" s="39" t="s">
        <v>96</v>
      </c>
      <c r="B17" s="39" t="s">
        <v>92</v>
      </c>
      <c r="C17" s="39" t="s">
        <v>61</v>
      </c>
      <c r="D17" s="40" t="s">
        <v>97</v>
      </c>
      <c r="E17" s="40" t="s">
        <v>98</v>
      </c>
      <c r="F17" s="40" t="s">
        <v>99</v>
      </c>
      <c r="G17" s="41" t="n">
        <f aca="false">ROUNDUP(INDEX(Rooms!$D$5:$D$47,MATCH(B17,Rooms!$A$5:$A$47,0))*(1+'Start Here'!$C$7),0)</f>
        <v>31</v>
      </c>
      <c r="H17" s="39" t="s">
        <v>65</v>
      </c>
      <c r="I17" s="42"/>
      <c r="J17" s="43" t="str">
        <f aca="false">IF(OR(I17="",G17=""),"",G17*I17)</f>
        <v/>
      </c>
      <c r="K17" s="44" t="str">
        <f aca="false">IF(J17="","",J17/'Start Here'!$C$6)</f>
        <v/>
      </c>
      <c r="L17" s="45"/>
      <c r="M17" s="45" t="s">
        <v>66</v>
      </c>
      <c r="N17" s="40" t="s">
        <v>100</v>
      </c>
      <c r="O17" s="46" t="str">
        <f aca="false">IF(B17="","",IF(B17='By Room'!$C$4,COUNTIF($B$5:B17,'By Room'!$C$4),""))</f>
        <v/>
      </c>
    </row>
    <row r="18" customFormat="false" ht="15" hidden="false" customHeight="false" outlineLevel="0" collapsed="false">
      <c r="A18" s="39" t="s">
        <v>101</v>
      </c>
      <c r="B18" s="39" t="s">
        <v>102</v>
      </c>
      <c r="C18" s="39" t="s">
        <v>61</v>
      </c>
      <c r="D18" s="40" t="s">
        <v>93</v>
      </c>
      <c r="E18" s="40" t="s">
        <v>94</v>
      </c>
      <c r="F18" s="40" t="s">
        <v>95</v>
      </c>
      <c r="G18" s="41" t="n">
        <f aca="false">ROUNDUP(INDEX(Rooms!$C$5:$C$47,MATCH(B18,Rooms!$A$5:$A$47,0))*(1+'Start Here'!$C$7),0)</f>
        <v>3</v>
      </c>
      <c r="H18" s="39" t="s">
        <v>65</v>
      </c>
      <c r="I18" s="42"/>
      <c r="J18" s="43" t="str">
        <f aca="false">IF(OR(I18="",G18=""),"",G18*I18)</f>
        <v/>
      </c>
      <c r="K18" s="44" t="str">
        <f aca="false">IF(J18="","",J18/'Start Here'!$C$6)</f>
        <v/>
      </c>
      <c r="L18" s="45"/>
      <c r="M18" s="45" t="s">
        <v>66</v>
      </c>
      <c r="N18" s="40" t="s">
        <v>80</v>
      </c>
      <c r="O18" s="46" t="str">
        <f aca="false">IF(B18="","",IF(B18='By Room'!$C$4,COUNTIF($B$5:B18,'By Room'!$C$4),""))</f>
        <v/>
      </c>
    </row>
    <row r="19" customFormat="false" ht="15" hidden="false" customHeight="false" outlineLevel="0" collapsed="false">
      <c r="A19" s="39" t="s">
        <v>103</v>
      </c>
      <c r="B19" s="39" t="s">
        <v>102</v>
      </c>
      <c r="C19" s="39" t="s">
        <v>61</v>
      </c>
      <c r="D19" s="40" t="s">
        <v>97</v>
      </c>
      <c r="E19" s="40" t="s">
        <v>98</v>
      </c>
      <c r="F19" s="40" t="s">
        <v>99</v>
      </c>
      <c r="G19" s="41" t="n">
        <f aca="false">ROUNDUP(INDEX(Rooms!$D$5:$D$47,MATCH(B19,Rooms!$A$5:$A$47,0))*(1+'Start Here'!$C$7),0)</f>
        <v>17</v>
      </c>
      <c r="H19" s="39" t="s">
        <v>65</v>
      </c>
      <c r="I19" s="42"/>
      <c r="J19" s="43" t="str">
        <f aca="false">IF(OR(I19="",G19=""),"",G19*I19)</f>
        <v/>
      </c>
      <c r="K19" s="44" t="str">
        <f aca="false">IF(J19="","",J19/'Start Here'!$C$6)</f>
        <v/>
      </c>
      <c r="L19" s="45"/>
      <c r="M19" s="45" t="s">
        <v>66</v>
      </c>
      <c r="N19" s="40" t="s">
        <v>100</v>
      </c>
      <c r="O19" s="46" t="str">
        <f aca="false">IF(B19="","",IF(B19='By Room'!$C$4,COUNTIF($B$5:B19,'By Room'!$C$4),""))</f>
        <v/>
      </c>
    </row>
    <row r="20" customFormat="false" ht="15" hidden="false" customHeight="false" outlineLevel="0" collapsed="false">
      <c r="A20" s="39" t="s">
        <v>104</v>
      </c>
      <c r="B20" s="39" t="s">
        <v>105</v>
      </c>
      <c r="C20" s="39" t="s">
        <v>61</v>
      </c>
      <c r="D20" s="40" t="s">
        <v>106</v>
      </c>
      <c r="E20" s="40" t="s">
        <v>107</v>
      </c>
      <c r="F20" s="40" t="s">
        <v>108</v>
      </c>
      <c r="G20" s="41" t="n">
        <f aca="false">ROUNDUP(INDEX(Rooms!$C$5:$C$47,MATCH(B20,Rooms!$A$5:$A$47,0))*(1+'Start Here'!$C$7),0)</f>
        <v>11</v>
      </c>
      <c r="H20" s="39" t="s">
        <v>65</v>
      </c>
      <c r="I20" s="42"/>
      <c r="J20" s="43" t="str">
        <f aca="false">IF(OR(I20="",G20=""),"",G20*I20)</f>
        <v/>
      </c>
      <c r="K20" s="44" t="str">
        <f aca="false">IF(J20="","",J20/'Start Here'!$C$6)</f>
        <v/>
      </c>
      <c r="L20" s="45"/>
      <c r="M20" s="45" t="s">
        <v>66</v>
      </c>
      <c r="N20" s="40" t="s">
        <v>109</v>
      </c>
      <c r="O20" s="46" t="str">
        <f aca="false">IF(B20="","",IF(B20='By Room'!$C$4,COUNTIF($B$5:B20,'By Room'!$C$4),""))</f>
        <v/>
      </c>
    </row>
    <row r="21" customFormat="false" ht="15" hidden="false" customHeight="false" outlineLevel="0" collapsed="false">
      <c r="A21" s="39" t="s">
        <v>110</v>
      </c>
      <c r="B21" s="39" t="s">
        <v>111</v>
      </c>
      <c r="C21" s="39" t="s">
        <v>61</v>
      </c>
      <c r="D21" s="40" t="s">
        <v>106</v>
      </c>
      <c r="E21" s="40" t="s">
        <v>107</v>
      </c>
      <c r="F21" s="40" t="s">
        <v>108</v>
      </c>
      <c r="G21" s="41" t="n">
        <f aca="false">ROUNDUP(INDEX(Rooms!$C$5:$C$47,MATCH(B21,Rooms!$A$5:$A$47,0))*(1+'Start Here'!$C$7),0)</f>
        <v>36</v>
      </c>
      <c r="H21" s="39" t="s">
        <v>65</v>
      </c>
      <c r="I21" s="42"/>
      <c r="J21" s="43" t="str">
        <f aca="false">IF(OR(I21="",G21=""),"",G21*I21)</f>
        <v/>
      </c>
      <c r="K21" s="44" t="str">
        <f aca="false">IF(J21="","",J21/'Start Here'!$C$6)</f>
        <v/>
      </c>
      <c r="L21" s="45"/>
      <c r="M21" s="45" t="s">
        <v>66</v>
      </c>
      <c r="N21" s="40" t="s">
        <v>109</v>
      </c>
      <c r="O21" s="46" t="str">
        <f aca="false">IF(B21="","",IF(B21='By Room'!$C$4,COUNTIF($B$5:B21,'By Room'!$C$4),""))</f>
        <v/>
      </c>
    </row>
    <row r="22" customFormat="false" ht="15" hidden="false" customHeight="false" outlineLevel="0" collapsed="false">
      <c r="A22" s="39" t="s">
        <v>112</v>
      </c>
      <c r="B22" s="39" t="s">
        <v>113</v>
      </c>
      <c r="C22" s="39" t="s">
        <v>61</v>
      </c>
      <c r="D22" s="40" t="s">
        <v>114</v>
      </c>
      <c r="E22" s="40" t="s">
        <v>115</v>
      </c>
      <c r="F22" s="40" t="s">
        <v>116</v>
      </c>
      <c r="G22" s="45" t="n">
        <v>24</v>
      </c>
      <c r="H22" s="39" t="s">
        <v>117</v>
      </c>
      <c r="I22" s="42"/>
      <c r="J22" s="43" t="str">
        <f aca="false">IF(OR(I22="",G22=""),"",G22*I22)</f>
        <v/>
      </c>
      <c r="K22" s="44" t="str">
        <f aca="false">IF(J22="","",J22/'Start Here'!$C$6)</f>
        <v/>
      </c>
      <c r="L22" s="45"/>
      <c r="M22" s="45" t="s">
        <v>66</v>
      </c>
      <c r="N22" s="40" t="s">
        <v>118</v>
      </c>
      <c r="O22" s="46" t="str">
        <f aca="false">IF(B22="","",IF(B22='By Room'!$C$4,COUNTIF($B$5:B22,'By Room'!$C$4),""))</f>
        <v/>
      </c>
    </row>
    <row r="23" customFormat="false" ht="15" hidden="false" customHeight="false" outlineLevel="0" collapsed="false">
      <c r="A23" s="39" t="s">
        <v>119</v>
      </c>
      <c r="B23" s="39" t="s">
        <v>113</v>
      </c>
      <c r="C23" s="39" t="s">
        <v>61</v>
      </c>
      <c r="D23" s="40" t="s">
        <v>120</v>
      </c>
      <c r="E23" s="40" t="s">
        <v>121</v>
      </c>
      <c r="F23" s="40" t="s">
        <v>122</v>
      </c>
      <c r="G23" s="45" t="n">
        <v>25</v>
      </c>
      <c r="H23" s="39" t="s">
        <v>117</v>
      </c>
      <c r="I23" s="42"/>
      <c r="J23" s="43" t="str">
        <f aca="false">IF(OR(I23="",G23=""),"",G23*I23)</f>
        <v/>
      </c>
      <c r="K23" s="44" t="str">
        <f aca="false">IF(J23="","",J23/'Start Here'!$C$6)</f>
        <v/>
      </c>
      <c r="L23" s="45"/>
      <c r="M23" s="45" t="s">
        <v>66</v>
      </c>
      <c r="N23" s="40" t="s">
        <v>123</v>
      </c>
      <c r="O23" s="46" t="str">
        <f aca="false">IF(B23="","",IF(B23='By Room'!$C$4,COUNTIF($B$5:B23,'By Room'!$C$4),""))</f>
        <v/>
      </c>
    </row>
    <row r="24" customFormat="false" ht="15" hidden="false" customHeight="false" outlineLevel="0" collapsed="false">
      <c r="A24" s="39" t="s">
        <v>124</v>
      </c>
      <c r="B24" s="39" t="s">
        <v>113</v>
      </c>
      <c r="C24" s="39" t="s">
        <v>61</v>
      </c>
      <c r="D24" s="40" t="s">
        <v>125</v>
      </c>
      <c r="E24" s="40" t="s">
        <v>126</v>
      </c>
      <c r="F24" s="40" t="s">
        <v>79</v>
      </c>
      <c r="G24" s="45" t="n">
        <v>6</v>
      </c>
      <c r="H24" s="39" t="s">
        <v>65</v>
      </c>
      <c r="I24" s="42"/>
      <c r="J24" s="43" t="str">
        <f aca="false">IF(OR(I24="",G24=""),"",G24*I24)</f>
        <v/>
      </c>
      <c r="K24" s="44" t="str">
        <f aca="false">IF(J24="","",J24/'Start Here'!$C$6)</f>
        <v/>
      </c>
      <c r="L24" s="45"/>
      <c r="M24" s="45" t="s">
        <v>66</v>
      </c>
      <c r="N24" s="40" t="s">
        <v>127</v>
      </c>
      <c r="O24" s="46" t="str">
        <f aca="false">IF(B24="","",IF(B24='By Room'!$C$4,COUNTIF($B$5:B24,'By Room'!$C$4),""))</f>
        <v/>
      </c>
    </row>
    <row r="25" customFormat="false" ht="23.85" hidden="false" customHeight="false" outlineLevel="0" collapsed="false">
      <c r="A25" s="39" t="s">
        <v>128</v>
      </c>
      <c r="B25" s="39" t="s">
        <v>129</v>
      </c>
      <c r="C25" s="39" t="s">
        <v>61</v>
      </c>
      <c r="D25" s="40" t="s">
        <v>62</v>
      </c>
      <c r="E25" s="40" t="s">
        <v>63</v>
      </c>
      <c r="F25" s="40" t="s">
        <v>64</v>
      </c>
      <c r="G25" s="41" t="n">
        <f aca="false">ROUNDUP(INDEX(Rooms!$C$5:$C$47,MATCH(B25,Rooms!$A$5:$A$47,0))*(1+'Start Here'!$C$7),0)</f>
        <v>40</v>
      </c>
      <c r="H25" s="39" t="s">
        <v>65</v>
      </c>
      <c r="I25" s="42"/>
      <c r="J25" s="43" t="str">
        <f aca="false">IF(OR(I25="",G25=""),"",G25*I25)</f>
        <v/>
      </c>
      <c r="K25" s="44" t="str">
        <f aca="false">IF(J25="","",J25/'Start Here'!$C$6)</f>
        <v/>
      </c>
      <c r="L25" s="45"/>
      <c r="M25" s="45" t="s">
        <v>66</v>
      </c>
      <c r="N25" s="40" t="s">
        <v>67</v>
      </c>
      <c r="O25" s="46" t="str">
        <f aca="false">IF(B25="","",IF(B25='By Room'!$C$4,COUNTIF($B$5:B25,'By Room'!$C$4),""))</f>
        <v/>
      </c>
    </row>
    <row r="26" customFormat="false" ht="23.85" hidden="false" customHeight="false" outlineLevel="0" collapsed="false">
      <c r="A26" s="39" t="s">
        <v>130</v>
      </c>
      <c r="B26" s="39" t="s">
        <v>131</v>
      </c>
      <c r="C26" s="39" t="s">
        <v>61</v>
      </c>
      <c r="D26" s="40" t="s">
        <v>62</v>
      </c>
      <c r="E26" s="40" t="s">
        <v>63</v>
      </c>
      <c r="F26" s="40" t="s">
        <v>64</v>
      </c>
      <c r="G26" s="41" t="n">
        <f aca="false">ROUNDUP(INDEX(Rooms!$C$5:$C$47,MATCH(B26,Rooms!$A$5:$A$47,0))*(1+'Start Here'!$C$7),0)</f>
        <v>32</v>
      </c>
      <c r="H26" s="39" t="s">
        <v>65</v>
      </c>
      <c r="I26" s="42"/>
      <c r="J26" s="43" t="str">
        <f aca="false">IF(OR(I26="",G26=""),"",G26*I26)</f>
        <v/>
      </c>
      <c r="K26" s="44" t="str">
        <f aca="false">IF(J26="","",J26/'Start Here'!$C$6)</f>
        <v/>
      </c>
      <c r="L26" s="45"/>
      <c r="M26" s="45" t="s">
        <v>66</v>
      </c>
      <c r="N26" s="40" t="s">
        <v>67</v>
      </c>
      <c r="O26" s="46" t="str">
        <f aca="false">IF(B26="","",IF(B26='By Room'!$C$4,COUNTIF($B$5:B26,'By Room'!$C$4),""))</f>
        <v/>
      </c>
    </row>
    <row r="27" customFormat="false" ht="15" hidden="false" customHeight="false" outlineLevel="0" collapsed="false">
      <c r="A27" s="39" t="s">
        <v>132</v>
      </c>
      <c r="B27" s="39" t="s">
        <v>133</v>
      </c>
      <c r="C27" s="39" t="s">
        <v>61</v>
      </c>
      <c r="D27" s="40" t="s">
        <v>93</v>
      </c>
      <c r="E27" s="40" t="s">
        <v>94</v>
      </c>
      <c r="F27" s="40" t="s">
        <v>95</v>
      </c>
      <c r="G27" s="41" t="n">
        <f aca="false">ROUNDUP(INDEX(Rooms!$C$5:$C$47,MATCH(B27,Rooms!$A$5:$A$47,0))*(1+'Start Here'!$C$7),0)</f>
        <v>10</v>
      </c>
      <c r="H27" s="39" t="s">
        <v>65</v>
      </c>
      <c r="I27" s="42"/>
      <c r="J27" s="43" t="str">
        <f aca="false">IF(OR(I27="",G27=""),"",G27*I27)</f>
        <v/>
      </c>
      <c r="K27" s="44" t="str">
        <f aca="false">IF(J27="","",J27/'Start Here'!$C$6)</f>
        <v/>
      </c>
      <c r="L27" s="45"/>
      <c r="M27" s="45" t="s">
        <v>66</v>
      </c>
      <c r="N27" s="40" t="s">
        <v>80</v>
      </c>
      <c r="O27" s="46" t="str">
        <f aca="false">IF(B27="","",IF(B27='By Room'!$C$4,COUNTIF($B$5:B27,'By Room'!$C$4),""))</f>
        <v/>
      </c>
    </row>
    <row r="28" customFormat="false" ht="15" hidden="false" customHeight="false" outlineLevel="0" collapsed="false">
      <c r="A28" s="39" t="s">
        <v>134</v>
      </c>
      <c r="B28" s="39" t="s">
        <v>133</v>
      </c>
      <c r="C28" s="39" t="s">
        <v>61</v>
      </c>
      <c r="D28" s="40" t="s">
        <v>97</v>
      </c>
      <c r="E28" s="40" t="s">
        <v>98</v>
      </c>
      <c r="F28" s="40" t="s">
        <v>99</v>
      </c>
      <c r="G28" s="41" t="n">
        <f aca="false">ROUNDUP(INDEX(Rooms!$D$5:$D$47,MATCH(B28,Rooms!$A$5:$A$47,0))*(1+'Start Here'!$C$7),0)</f>
        <v>33</v>
      </c>
      <c r="H28" s="39" t="s">
        <v>65</v>
      </c>
      <c r="I28" s="42"/>
      <c r="J28" s="43" t="str">
        <f aca="false">IF(OR(I28="",G28=""),"",G28*I28)</f>
        <v/>
      </c>
      <c r="K28" s="44" t="str">
        <f aca="false">IF(J28="","",J28/'Start Here'!$C$6)</f>
        <v/>
      </c>
      <c r="L28" s="45"/>
      <c r="M28" s="45" t="s">
        <v>66</v>
      </c>
      <c r="N28" s="40" t="s">
        <v>100</v>
      </c>
      <c r="O28" s="46" t="str">
        <f aca="false">IF(B28="","",IF(B28='By Room'!$C$4,COUNTIF($B$5:B28,'By Room'!$C$4),""))</f>
        <v/>
      </c>
    </row>
    <row r="29" customFormat="false" ht="23.85" hidden="false" customHeight="false" outlineLevel="0" collapsed="false">
      <c r="A29" s="39" t="s">
        <v>135</v>
      </c>
      <c r="B29" s="39" t="s">
        <v>136</v>
      </c>
      <c r="C29" s="39" t="s">
        <v>61</v>
      </c>
      <c r="D29" s="40" t="s">
        <v>62</v>
      </c>
      <c r="E29" s="40" t="s">
        <v>63</v>
      </c>
      <c r="F29" s="40" t="s">
        <v>64</v>
      </c>
      <c r="G29" s="41" t="n">
        <f aca="false">ROUNDUP(INDEX(Rooms!$C$5:$C$47,MATCH(B29,Rooms!$A$5:$A$47,0))*(1+'Start Here'!$C$7),0)</f>
        <v>11</v>
      </c>
      <c r="H29" s="39" t="s">
        <v>65</v>
      </c>
      <c r="I29" s="42"/>
      <c r="J29" s="43" t="str">
        <f aca="false">IF(OR(I29="",G29=""),"",G29*I29)</f>
        <v/>
      </c>
      <c r="K29" s="44" t="str">
        <f aca="false">IF(J29="","",J29/'Start Here'!$C$6)</f>
        <v/>
      </c>
      <c r="L29" s="45"/>
      <c r="M29" s="45" t="s">
        <v>66</v>
      </c>
      <c r="N29" s="40" t="s">
        <v>67</v>
      </c>
      <c r="O29" s="46" t="str">
        <f aca="false">IF(B29="","",IF(B29='By Room'!$C$4,COUNTIF($B$5:B29,'By Room'!$C$4),""))</f>
        <v/>
      </c>
    </row>
    <row r="30" customFormat="false" ht="23.85" hidden="false" customHeight="false" outlineLevel="0" collapsed="false">
      <c r="A30" s="39" t="s">
        <v>137</v>
      </c>
      <c r="B30" s="39" t="s">
        <v>138</v>
      </c>
      <c r="C30" s="39" t="s">
        <v>61</v>
      </c>
      <c r="D30" s="40" t="s">
        <v>62</v>
      </c>
      <c r="E30" s="40" t="s">
        <v>63</v>
      </c>
      <c r="F30" s="40" t="s">
        <v>64</v>
      </c>
      <c r="G30" s="41" t="n">
        <f aca="false">ROUNDUP(INDEX(Rooms!$C$5:$C$47,MATCH(B30,Rooms!$A$5:$A$47,0))*(1+'Start Here'!$C$7),0)</f>
        <v>19</v>
      </c>
      <c r="H30" s="39" t="s">
        <v>65</v>
      </c>
      <c r="I30" s="42"/>
      <c r="J30" s="43" t="str">
        <f aca="false">IF(OR(I30="",G30=""),"",G30*I30)</f>
        <v/>
      </c>
      <c r="K30" s="44" t="str">
        <f aca="false">IF(J30="","",J30/'Start Here'!$C$6)</f>
        <v/>
      </c>
      <c r="L30" s="45"/>
      <c r="M30" s="45" t="s">
        <v>66</v>
      </c>
      <c r="N30" s="40" t="s">
        <v>67</v>
      </c>
      <c r="O30" s="46" t="str">
        <f aca="false">IF(B30="","",IF(B30='By Room'!$C$4,COUNTIF($B$5:B30,'By Room'!$C$4),""))</f>
        <v/>
      </c>
    </row>
    <row r="31" customFormat="false" ht="15" hidden="false" customHeight="false" outlineLevel="0" collapsed="false">
      <c r="A31" s="39" t="s">
        <v>139</v>
      </c>
      <c r="B31" s="39" t="s">
        <v>140</v>
      </c>
      <c r="C31" s="39" t="s">
        <v>61</v>
      </c>
      <c r="D31" s="40" t="s">
        <v>93</v>
      </c>
      <c r="E31" s="40" t="s">
        <v>94</v>
      </c>
      <c r="F31" s="40" t="s">
        <v>95</v>
      </c>
      <c r="G31" s="41" t="n">
        <f aca="false">ROUNDUP(INDEX(Rooms!$C$5:$C$47,MATCH(B31,Rooms!$A$5:$A$47,0))*(1+'Start Here'!$C$7),0)</f>
        <v>7</v>
      </c>
      <c r="H31" s="39" t="s">
        <v>65</v>
      </c>
      <c r="I31" s="42"/>
      <c r="J31" s="43" t="str">
        <f aca="false">IF(OR(I31="",G31=""),"",G31*I31)</f>
        <v/>
      </c>
      <c r="K31" s="44" t="str">
        <f aca="false">IF(J31="","",J31/'Start Here'!$C$6)</f>
        <v/>
      </c>
      <c r="L31" s="45"/>
      <c r="M31" s="45" t="s">
        <v>66</v>
      </c>
      <c r="N31" s="40" t="s">
        <v>80</v>
      </c>
      <c r="O31" s="46" t="str">
        <f aca="false">IF(B31="","",IF(B31='By Room'!$C$4,COUNTIF($B$5:B31,'By Room'!$C$4),""))</f>
        <v/>
      </c>
    </row>
    <row r="32" customFormat="false" ht="15" hidden="false" customHeight="false" outlineLevel="0" collapsed="false">
      <c r="A32" s="39" t="s">
        <v>141</v>
      </c>
      <c r="B32" s="39" t="s">
        <v>140</v>
      </c>
      <c r="C32" s="39" t="s">
        <v>61</v>
      </c>
      <c r="D32" s="40" t="s">
        <v>97</v>
      </c>
      <c r="E32" s="40" t="s">
        <v>98</v>
      </c>
      <c r="F32" s="40" t="s">
        <v>99</v>
      </c>
      <c r="G32" s="41" t="n">
        <f aca="false">ROUNDUP(INDEX(Rooms!$D$5:$D$47,MATCH(B32,Rooms!$A$5:$A$47,0))*(1+'Start Here'!$C$7),0)</f>
        <v>31</v>
      </c>
      <c r="H32" s="39" t="s">
        <v>65</v>
      </c>
      <c r="I32" s="42"/>
      <c r="J32" s="43" t="str">
        <f aca="false">IF(OR(I32="",G32=""),"",G32*I32)</f>
        <v/>
      </c>
      <c r="K32" s="44" t="str">
        <f aca="false">IF(J32="","",J32/'Start Here'!$C$6)</f>
        <v/>
      </c>
      <c r="L32" s="45"/>
      <c r="M32" s="45" t="s">
        <v>66</v>
      </c>
      <c r="N32" s="40" t="s">
        <v>100</v>
      </c>
      <c r="O32" s="46" t="str">
        <f aca="false">IF(B32="","",IF(B32='By Room'!$C$4,COUNTIF($B$5:B32,'By Room'!$C$4),""))</f>
        <v/>
      </c>
    </row>
    <row r="33" customFormat="false" ht="23.85" hidden="false" customHeight="false" outlineLevel="0" collapsed="false">
      <c r="A33" s="39" t="s">
        <v>142</v>
      </c>
      <c r="B33" s="39" t="s">
        <v>143</v>
      </c>
      <c r="C33" s="39" t="s">
        <v>61</v>
      </c>
      <c r="D33" s="40" t="s">
        <v>62</v>
      </c>
      <c r="E33" s="40" t="s">
        <v>63</v>
      </c>
      <c r="F33" s="40" t="s">
        <v>64</v>
      </c>
      <c r="G33" s="41" t="n">
        <f aca="false">ROUNDUP(INDEX(Rooms!$C$5:$C$47,MATCH(B33,Rooms!$A$5:$A$47,0))*(1+'Start Here'!$C$7),0)</f>
        <v>17</v>
      </c>
      <c r="H33" s="39" t="s">
        <v>65</v>
      </c>
      <c r="I33" s="42"/>
      <c r="J33" s="43" t="str">
        <f aca="false">IF(OR(I33="",G33=""),"",G33*I33)</f>
        <v/>
      </c>
      <c r="K33" s="44" t="str">
        <f aca="false">IF(J33="","",J33/'Start Here'!$C$6)</f>
        <v/>
      </c>
      <c r="L33" s="45"/>
      <c r="M33" s="45" t="s">
        <v>66</v>
      </c>
      <c r="N33" s="40" t="s">
        <v>67</v>
      </c>
      <c r="O33" s="46" t="str">
        <f aca="false">IF(B33="","",IF(B33='By Room'!$C$4,COUNTIF($B$5:B33,'By Room'!$C$4),""))</f>
        <v/>
      </c>
    </row>
    <row r="34" customFormat="false" ht="15" hidden="false" customHeight="false" outlineLevel="0" collapsed="false">
      <c r="A34" s="39" t="s">
        <v>144</v>
      </c>
      <c r="B34" s="39" t="s">
        <v>145</v>
      </c>
      <c r="C34" s="39" t="s">
        <v>61</v>
      </c>
      <c r="D34" s="40" t="s">
        <v>93</v>
      </c>
      <c r="E34" s="40" t="s">
        <v>94</v>
      </c>
      <c r="F34" s="40" t="s">
        <v>95</v>
      </c>
      <c r="G34" s="41" t="n">
        <f aca="false">ROUNDUP(INDEX(Rooms!$C$5:$C$47,MATCH(B34,Rooms!$A$5:$A$47,0))*(1+'Start Here'!$C$7),0)</f>
        <v>8</v>
      </c>
      <c r="H34" s="39" t="s">
        <v>65</v>
      </c>
      <c r="I34" s="42"/>
      <c r="J34" s="43" t="str">
        <f aca="false">IF(OR(I34="",G34=""),"",G34*I34)</f>
        <v/>
      </c>
      <c r="K34" s="44" t="str">
        <f aca="false">IF(J34="","",J34/'Start Here'!$C$6)</f>
        <v/>
      </c>
      <c r="L34" s="45"/>
      <c r="M34" s="45" t="s">
        <v>66</v>
      </c>
      <c r="N34" s="40" t="s">
        <v>80</v>
      </c>
      <c r="O34" s="46" t="str">
        <f aca="false">IF(B34="","",IF(B34='By Room'!$C$4,COUNTIF($B$5:B34,'By Room'!$C$4),""))</f>
        <v/>
      </c>
    </row>
    <row r="35" customFormat="false" ht="15" hidden="false" customHeight="false" outlineLevel="0" collapsed="false">
      <c r="A35" s="39" t="s">
        <v>146</v>
      </c>
      <c r="B35" s="39" t="s">
        <v>145</v>
      </c>
      <c r="C35" s="39" t="s">
        <v>61</v>
      </c>
      <c r="D35" s="40" t="s">
        <v>97</v>
      </c>
      <c r="E35" s="40" t="s">
        <v>98</v>
      </c>
      <c r="F35" s="40" t="s">
        <v>99</v>
      </c>
      <c r="G35" s="41" t="n">
        <f aca="false">ROUNDUP(INDEX(Rooms!$D$5:$D$47,MATCH(B35,Rooms!$A$5:$A$47,0))*(1+'Start Here'!$C$7),0)</f>
        <v>31</v>
      </c>
      <c r="H35" s="39" t="s">
        <v>65</v>
      </c>
      <c r="I35" s="42"/>
      <c r="J35" s="43" t="str">
        <f aca="false">IF(OR(I35="",G35=""),"",G35*I35)</f>
        <v/>
      </c>
      <c r="K35" s="44" t="str">
        <f aca="false">IF(J35="","",J35/'Start Here'!$C$6)</f>
        <v/>
      </c>
      <c r="L35" s="45"/>
      <c r="M35" s="45" t="s">
        <v>66</v>
      </c>
      <c r="N35" s="40" t="s">
        <v>100</v>
      </c>
      <c r="O35" s="46" t="str">
        <f aca="false">IF(B35="","",IF(B35='By Room'!$C$4,COUNTIF($B$5:B35,'By Room'!$C$4),""))</f>
        <v/>
      </c>
    </row>
    <row r="36" customFormat="false" ht="23.85" hidden="false" customHeight="false" outlineLevel="0" collapsed="false">
      <c r="A36" s="39" t="s">
        <v>147</v>
      </c>
      <c r="B36" s="39" t="s">
        <v>148</v>
      </c>
      <c r="C36" s="39" t="s">
        <v>61</v>
      </c>
      <c r="D36" s="40" t="s">
        <v>62</v>
      </c>
      <c r="E36" s="40" t="s">
        <v>63</v>
      </c>
      <c r="F36" s="40" t="s">
        <v>64</v>
      </c>
      <c r="G36" s="41" t="n">
        <f aca="false">ROUNDUP(INDEX(Rooms!$C$5:$C$47,MATCH(B36,Rooms!$A$5:$A$47,0))*(1+'Start Here'!$C$7),0)</f>
        <v>18</v>
      </c>
      <c r="H36" s="39" t="s">
        <v>65</v>
      </c>
      <c r="I36" s="42"/>
      <c r="J36" s="43" t="str">
        <f aca="false">IF(OR(I36="",G36=""),"",G36*I36)</f>
        <v/>
      </c>
      <c r="K36" s="44" t="str">
        <f aca="false">IF(J36="","",J36/'Start Here'!$C$6)</f>
        <v/>
      </c>
      <c r="L36" s="45"/>
      <c r="M36" s="45" t="s">
        <v>66</v>
      </c>
      <c r="N36" s="40" t="s">
        <v>67</v>
      </c>
      <c r="O36" s="46" t="str">
        <f aca="false">IF(B36="","",IF(B36='By Room'!$C$4,COUNTIF($B$5:B36,'By Room'!$C$4),""))</f>
        <v/>
      </c>
    </row>
    <row r="37" customFormat="false" ht="15" hidden="false" customHeight="false" outlineLevel="0" collapsed="false">
      <c r="A37" s="39" t="s">
        <v>149</v>
      </c>
      <c r="B37" s="39" t="s">
        <v>150</v>
      </c>
      <c r="C37" s="39" t="s">
        <v>61</v>
      </c>
      <c r="D37" s="40" t="s">
        <v>93</v>
      </c>
      <c r="E37" s="40" t="s">
        <v>94</v>
      </c>
      <c r="F37" s="40" t="s">
        <v>95</v>
      </c>
      <c r="G37" s="41" t="n">
        <f aca="false">ROUNDUP(INDEX(Rooms!$C$5:$C$47,MATCH(B37,Rooms!$A$5:$A$47,0))*(1+'Start Here'!$C$7),0)</f>
        <v>5</v>
      </c>
      <c r="H37" s="39" t="s">
        <v>65</v>
      </c>
      <c r="I37" s="42"/>
      <c r="J37" s="43" t="str">
        <f aca="false">IF(OR(I37="",G37=""),"",G37*I37)</f>
        <v/>
      </c>
      <c r="K37" s="44" t="str">
        <f aca="false">IF(J37="","",J37/'Start Here'!$C$6)</f>
        <v/>
      </c>
      <c r="L37" s="45"/>
      <c r="M37" s="45" t="s">
        <v>66</v>
      </c>
      <c r="N37" s="40" t="s">
        <v>80</v>
      </c>
      <c r="O37" s="46" t="str">
        <f aca="false">IF(B37="","",IF(B37='By Room'!$C$4,COUNTIF($B$5:B37,'By Room'!$C$4),""))</f>
        <v/>
      </c>
    </row>
    <row r="38" customFormat="false" ht="15" hidden="false" customHeight="false" outlineLevel="0" collapsed="false">
      <c r="A38" s="39" t="s">
        <v>151</v>
      </c>
      <c r="B38" s="39" t="s">
        <v>150</v>
      </c>
      <c r="C38" s="39" t="s">
        <v>61</v>
      </c>
      <c r="D38" s="40" t="s">
        <v>97</v>
      </c>
      <c r="E38" s="40" t="s">
        <v>98</v>
      </c>
      <c r="F38" s="40" t="s">
        <v>99</v>
      </c>
      <c r="G38" s="41" t="n">
        <f aca="false">ROUNDUP(INDEX(Rooms!$D$5:$D$47,MATCH(B38,Rooms!$A$5:$A$47,0))*(1+'Start Here'!$C$7),0)</f>
        <v>24</v>
      </c>
      <c r="H38" s="39" t="s">
        <v>65</v>
      </c>
      <c r="I38" s="42"/>
      <c r="J38" s="43" t="str">
        <f aca="false">IF(OR(I38="",G38=""),"",G38*I38)</f>
        <v/>
      </c>
      <c r="K38" s="44" t="str">
        <f aca="false">IF(J38="","",J38/'Start Here'!$C$6)</f>
        <v/>
      </c>
      <c r="L38" s="45"/>
      <c r="M38" s="45" t="s">
        <v>66</v>
      </c>
      <c r="N38" s="40" t="s">
        <v>100</v>
      </c>
      <c r="O38" s="46" t="str">
        <f aca="false">IF(B38="","",IF(B38='By Room'!$C$4,COUNTIF($B$5:B38,'By Room'!$C$4),""))</f>
        <v/>
      </c>
    </row>
    <row r="39" customFormat="false" ht="23.85" hidden="false" customHeight="false" outlineLevel="0" collapsed="false">
      <c r="A39" s="39" t="s">
        <v>152</v>
      </c>
      <c r="B39" s="39" t="s">
        <v>153</v>
      </c>
      <c r="C39" s="39" t="s">
        <v>61</v>
      </c>
      <c r="D39" s="40" t="s">
        <v>62</v>
      </c>
      <c r="E39" s="40" t="s">
        <v>63</v>
      </c>
      <c r="F39" s="40" t="s">
        <v>64</v>
      </c>
      <c r="G39" s="41" t="n">
        <f aca="false">ROUNDUP(INDEX(Rooms!$C$5:$C$47,MATCH(B39,Rooms!$A$5:$A$47,0))*(1+'Start Here'!$C$7),0)</f>
        <v>32</v>
      </c>
      <c r="H39" s="39" t="s">
        <v>65</v>
      </c>
      <c r="I39" s="42"/>
      <c r="J39" s="43" t="str">
        <f aca="false">IF(OR(I39="",G39=""),"",G39*I39)</f>
        <v/>
      </c>
      <c r="K39" s="44" t="str">
        <f aca="false">IF(J39="","",J39/'Start Here'!$C$6)</f>
        <v/>
      </c>
      <c r="L39" s="45"/>
      <c r="M39" s="45" t="s">
        <v>66</v>
      </c>
      <c r="N39" s="40" t="s">
        <v>67</v>
      </c>
      <c r="O39" s="46" t="str">
        <f aca="false">IF(B39="","",IF(B39='By Room'!$C$4,COUNTIF($B$5:B39,'By Room'!$C$4),""))</f>
        <v/>
      </c>
    </row>
    <row r="40" customFormat="false" ht="15" hidden="false" customHeight="false" outlineLevel="0" collapsed="false">
      <c r="A40" s="39" t="s">
        <v>154</v>
      </c>
      <c r="B40" s="39" t="s">
        <v>155</v>
      </c>
      <c r="C40" s="39" t="s">
        <v>61</v>
      </c>
      <c r="D40" s="40" t="s">
        <v>156</v>
      </c>
      <c r="E40" s="40" t="s">
        <v>157</v>
      </c>
      <c r="F40" s="40" t="s">
        <v>158</v>
      </c>
      <c r="G40" s="41" t="n">
        <f aca="false">ROUNDUP(INDEX(Rooms!$C$5:$C$47,MATCH(B40,Rooms!$A$5:$A$47,0))*(1+'Start Here'!$C$7),0)</f>
        <v>40</v>
      </c>
      <c r="H40" s="39" t="s">
        <v>65</v>
      </c>
      <c r="I40" s="42"/>
      <c r="J40" s="43" t="str">
        <f aca="false">IF(OR(I40="",G40=""),"",G40*I40)</f>
        <v/>
      </c>
      <c r="K40" s="44" t="str">
        <f aca="false">IF(J40="","",J40/'Start Here'!$C$6)</f>
        <v/>
      </c>
      <c r="L40" s="45"/>
      <c r="M40" s="45" t="s">
        <v>66</v>
      </c>
      <c r="N40" s="40" t="s">
        <v>80</v>
      </c>
      <c r="O40" s="46" t="str">
        <f aca="false">IF(B40="","",IF(B40='By Room'!$C$4,COUNTIF($B$5:B40,'By Room'!$C$4),""))</f>
        <v/>
      </c>
    </row>
    <row r="41" customFormat="false" ht="15" hidden="false" customHeight="false" outlineLevel="0" collapsed="false">
      <c r="A41" s="39" t="s">
        <v>159</v>
      </c>
      <c r="B41" s="39" t="s">
        <v>160</v>
      </c>
      <c r="C41" s="39" t="s">
        <v>61</v>
      </c>
      <c r="D41" s="40" t="s">
        <v>114</v>
      </c>
      <c r="E41" s="40" t="s">
        <v>115</v>
      </c>
      <c r="F41" s="40" t="s">
        <v>116</v>
      </c>
      <c r="G41" s="45" t="n">
        <v>24</v>
      </c>
      <c r="H41" s="39" t="s">
        <v>117</v>
      </c>
      <c r="I41" s="42"/>
      <c r="J41" s="43" t="str">
        <f aca="false">IF(OR(I41="",G41=""),"",G41*I41)</f>
        <v/>
      </c>
      <c r="K41" s="44" t="str">
        <f aca="false">IF(J41="","",J41/'Start Here'!$C$6)</f>
        <v/>
      </c>
      <c r="L41" s="45"/>
      <c r="M41" s="45" t="s">
        <v>66</v>
      </c>
      <c r="N41" s="40" t="s">
        <v>118</v>
      </c>
      <c r="O41" s="46" t="str">
        <f aca="false">IF(B41="","",IF(B41='By Room'!$C$4,COUNTIF($B$5:B41,'By Room'!$C$4),""))</f>
        <v/>
      </c>
    </row>
    <row r="42" customFormat="false" ht="15" hidden="false" customHeight="false" outlineLevel="0" collapsed="false">
      <c r="A42" s="39" t="s">
        <v>161</v>
      </c>
      <c r="B42" s="39" t="s">
        <v>160</v>
      </c>
      <c r="C42" s="39" t="s">
        <v>61</v>
      </c>
      <c r="D42" s="40" t="s">
        <v>120</v>
      </c>
      <c r="E42" s="40" t="s">
        <v>121</v>
      </c>
      <c r="F42" s="40" t="s">
        <v>122</v>
      </c>
      <c r="G42" s="45" t="n">
        <v>25</v>
      </c>
      <c r="H42" s="39" t="s">
        <v>117</v>
      </c>
      <c r="I42" s="42"/>
      <c r="J42" s="43" t="str">
        <f aca="false">IF(OR(I42="",G42=""),"",G42*I42)</f>
        <v/>
      </c>
      <c r="K42" s="44" t="str">
        <f aca="false">IF(J42="","",J42/'Start Here'!$C$6)</f>
        <v/>
      </c>
      <c r="L42" s="45"/>
      <c r="M42" s="45" t="s">
        <v>66</v>
      </c>
      <c r="N42" s="40" t="s">
        <v>123</v>
      </c>
      <c r="O42" s="46" t="str">
        <f aca="false">IF(B42="","",IF(B42='By Room'!$C$4,COUNTIF($B$5:B42,'By Room'!$C$4),""))</f>
        <v/>
      </c>
    </row>
    <row r="43" customFormat="false" ht="15" hidden="false" customHeight="false" outlineLevel="0" collapsed="false">
      <c r="A43" s="39" t="s">
        <v>162</v>
      </c>
      <c r="B43" s="39" t="s">
        <v>160</v>
      </c>
      <c r="C43" s="39" t="s">
        <v>61</v>
      </c>
      <c r="D43" s="40" t="s">
        <v>125</v>
      </c>
      <c r="E43" s="40" t="s">
        <v>126</v>
      </c>
      <c r="F43" s="40" t="s">
        <v>79</v>
      </c>
      <c r="G43" s="45" t="n">
        <v>6</v>
      </c>
      <c r="H43" s="39" t="s">
        <v>65</v>
      </c>
      <c r="I43" s="42"/>
      <c r="J43" s="43" t="str">
        <f aca="false">IF(OR(I43="",G43=""),"",G43*I43)</f>
        <v/>
      </c>
      <c r="K43" s="44" t="str">
        <f aca="false">IF(J43="","",J43/'Start Here'!$C$6)</f>
        <v/>
      </c>
      <c r="L43" s="45"/>
      <c r="M43" s="45" t="s">
        <v>66</v>
      </c>
      <c r="N43" s="40" t="s">
        <v>127</v>
      </c>
      <c r="O43" s="46" t="str">
        <f aca="false">IF(B43="","",IF(B43='By Room'!$C$4,COUNTIF($B$5:B43,'By Room'!$C$4),""))</f>
        <v/>
      </c>
    </row>
    <row r="44" customFormat="false" ht="15" hidden="false" customHeight="false" outlineLevel="0" collapsed="false">
      <c r="A44" s="39" t="s">
        <v>163</v>
      </c>
      <c r="B44" s="39" t="s">
        <v>164</v>
      </c>
      <c r="C44" s="39" t="s">
        <v>61</v>
      </c>
      <c r="D44" s="40" t="s">
        <v>165</v>
      </c>
      <c r="E44" s="40" t="s">
        <v>166</v>
      </c>
      <c r="F44" s="40" t="s">
        <v>167</v>
      </c>
      <c r="G44" s="41" t="n">
        <f aca="false">ROUNDUP(INDEX(Rooms!$C$5:$C$47,MATCH(B44,Rooms!$A$5:$A$47,0))*(1+'Start Here'!$C$7),0)</f>
        <v>53</v>
      </c>
      <c r="H44" s="39" t="s">
        <v>65</v>
      </c>
      <c r="I44" s="42"/>
      <c r="J44" s="43" t="str">
        <f aca="false">IF(OR(I44="",G44=""),"",G44*I44)</f>
        <v/>
      </c>
      <c r="K44" s="44" t="str">
        <f aca="false">IF(J44="","",J44/'Start Here'!$C$6)</f>
        <v/>
      </c>
      <c r="L44" s="45"/>
      <c r="M44" s="45" t="s">
        <v>66</v>
      </c>
      <c r="N44" s="40" t="s">
        <v>80</v>
      </c>
      <c r="O44" s="46" t="str">
        <f aca="false">IF(B44="","",IF(B44='By Room'!$C$4,COUNTIF($B$5:B44,'By Room'!$C$4),""))</f>
        <v/>
      </c>
    </row>
    <row r="45" customFormat="false" ht="15" hidden="false" customHeight="false" outlineLevel="0" collapsed="false">
      <c r="A45" s="39" t="s">
        <v>168</v>
      </c>
      <c r="B45" s="39" t="s">
        <v>169</v>
      </c>
      <c r="C45" s="39" t="s">
        <v>61</v>
      </c>
      <c r="D45" s="40" t="s">
        <v>93</v>
      </c>
      <c r="E45" s="40" t="s">
        <v>94</v>
      </c>
      <c r="F45" s="40" t="s">
        <v>95</v>
      </c>
      <c r="G45" s="41" t="n">
        <f aca="false">ROUNDUP(INDEX(Rooms!$C$5:$C$47,MATCH(B45,Rooms!$A$5:$A$47,0))*(1+'Start Here'!$C$7),0)</f>
        <v>3</v>
      </c>
      <c r="H45" s="39" t="s">
        <v>65</v>
      </c>
      <c r="I45" s="42"/>
      <c r="J45" s="43" t="str">
        <f aca="false">IF(OR(I45="",G45=""),"",G45*I45)</f>
        <v/>
      </c>
      <c r="K45" s="44" t="str">
        <f aca="false">IF(J45="","",J45/'Start Here'!$C$6)</f>
        <v/>
      </c>
      <c r="L45" s="45"/>
      <c r="M45" s="45" t="s">
        <v>66</v>
      </c>
      <c r="N45" s="40" t="s">
        <v>80</v>
      </c>
      <c r="O45" s="46" t="str">
        <f aca="false">IF(B45="","",IF(B45='By Room'!$C$4,COUNTIF($B$5:B45,'By Room'!$C$4),""))</f>
        <v/>
      </c>
    </row>
    <row r="46" customFormat="false" ht="15" hidden="false" customHeight="false" outlineLevel="0" collapsed="false">
      <c r="A46" s="39" t="s">
        <v>170</v>
      </c>
      <c r="B46" s="39" t="s">
        <v>169</v>
      </c>
      <c r="C46" s="39" t="s">
        <v>61</v>
      </c>
      <c r="D46" s="40" t="s">
        <v>97</v>
      </c>
      <c r="E46" s="40" t="s">
        <v>98</v>
      </c>
      <c r="F46" s="40" t="s">
        <v>99</v>
      </c>
      <c r="G46" s="41" t="n">
        <f aca="false">ROUNDUP(INDEX(Rooms!$D$5:$D$47,MATCH(B46,Rooms!$A$5:$A$47,0))*(1+'Start Here'!$C$7),0)</f>
        <v>15</v>
      </c>
      <c r="H46" s="39" t="s">
        <v>65</v>
      </c>
      <c r="I46" s="42"/>
      <c r="J46" s="43" t="str">
        <f aca="false">IF(OR(I46="",G46=""),"",G46*I46)</f>
        <v/>
      </c>
      <c r="K46" s="44" t="str">
        <f aca="false">IF(J46="","",J46/'Start Here'!$C$6)</f>
        <v/>
      </c>
      <c r="L46" s="45"/>
      <c r="M46" s="45" t="s">
        <v>66</v>
      </c>
      <c r="N46" s="40" t="s">
        <v>100</v>
      </c>
      <c r="O46" s="46" t="str">
        <f aca="false">IF(B46="","",IF(B46='By Room'!$C$4,COUNTIF($B$5:B46,'By Room'!$C$4),""))</f>
        <v/>
      </c>
    </row>
    <row r="47" customFormat="false" ht="15" hidden="false" customHeight="false" outlineLevel="0" collapsed="false">
      <c r="A47" s="39" t="s">
        <v>171</v>
      </c>
      <c r="B47" s="39" t="s">
        <v>172</v>
      </c>
      <c r="C47" s="39" t="s">
        <v>61</v>
      </c>
      <c r="D47" s="40" t="s">
        <v>156</v>
      </c>
      <c r="E47" s="40" t="s">
        <v>157</v>
      </c>
      <c r="F47" s="40" t="s">
        <v>158</v>
      </c>
      <c r="G47" s="41" t="n">
        <f aca="false">ROUNDUP(INDEX(Rooms!$C$5:$C$47,MATCH(B47,Rooms!$A$5:$A$47,0))*(1+'Start Here'!$C$7),0)</f>
        <v>21</v>
      </c>
      <c r="H47" s="39" t="s">
        <v>65</v>
      </c>
      <c r="I47" s="42"/>
      <c r="J47" s="43" t="str">
        <f aca="false">IF(OR(I47="",G47=""),"",G47*I47)</f>
        <v/>
      </c>
      <c r="K47" s="44" t="str">
        <f aca="false">IF(J47="","",J47/'Start Here'!$C$6)</f>
        <v/>
      </c>
      <c r="L47" s="45"/>
      <c r="M47" s="45" t="s">
        <v>66</v>
      </c>
      <c r="N47" s="40" t="s">
        <v>80</v>
      </c>
      <c r="O47" s="46" t="str">
        <f aca="false">IF(B47="","",IF(B47='By Room'!$C$4,COUNTIF($B$5:B47,'By Room'!$C$4),""))</f>
        <v/>
      </c>
    </row>
    <row r="48" customFormat="false" ht="23.85" hidden="false" customHeight="false" outlineLevel="0" collapsed="false">
      <c r="A48" s="39" t="s">
        <v>173</v>
      </c>
      <c r="B48" s="39" t="s">
        <v>174</v>
      </c>
      <c r="C48" s="39" t="s">
        <v>61</v>
      </c>
      <c r="D48" s="40" t="s">
        <v>175</v>
      </c>
      <c r="E48" s="40" t="s">
        <v>176</v>
      </c>
      <c r="F48" s="40" t="s">
        <v>177</v>
      </c>
      <c r="G48" s="41" t="n">
        <f aca="false">ROUNDUP(INDEX(Rooms!$C$5:$C$47,MATCH(B48,Rooms!$A$5:$A$47,0))*(1+'Start Here'!$C$7),0)</f>
        <v>124</v>
      </c>
      <c r="H48" s="39" t="s">
        <v>65</v>
      </c>
      <c r="I48" s="42"/>
      <c r="J48" s="43" t="str">
        <f aca="false">IF(OR(I48="",G48=""),"",G48*I48)</f>
        <v/>
      </c>
      <c r="K48" s="44" t="str">
        <f aca="false">IF(J48="","",J48/'Start Here'!$C$6)</f>
        <v/>
      </c>
      <c r="L48" s="45"/>
      <c r="M48" s="45" t="s">
        <v>66</v>
      </c>
      <c r="N48" s="40" t="s">
        <v>178</v>
      </c>
      <c r="O48" s="46" t="str">
        <f aca="false">IF(B48="","",IF(B48='By Room'!$C$4,COUNTIF($B$5:B48,'By Room'!$C$4),""))</f>
        <v/>
      </c>
    </row>
    <row r="49" customFormat="false" ht="23.85" hidden="false" customHeight="false" outlineLevel="0" collapsed="false">
      <c r="A49" s="39" t="s">
        <v>179</v>
      </c>
      <c r="B49" s="39" t="s">
        <v>180</v>
      </c>
      <c r="C49" s="39" t="s">
        <v>61</v>
      </c>
      <c r="D49" s="40" t="s">
        <v>181</v>
      </c>
      <c r="E49" s="40" t="s">
        <v>182</v>
      </c>
      <c r="F49" s="40" t="s">
        <v>183</v>
      </c>
      <c r="G49" s="45" t="n">
        <v>340</v>
      </c>
      <c r="H49" s="39" t="s">
        <v>184</v>
      </c>
      <c r="I49" s="42"/>
      <c r="J49" s="43" t="str">
        <f aca="false">IF(OR(I49="",G49=""),"",G49*I49)</f>
        <v/>
      </c>
      <c r="K49" s="44" t="str">
        <f aca="false">IF(J49="","",J49/'Start Here'!$C$6)</f>
        <v/>
      </c>
      <c r="L49" s="45"/>
      <c r="M49" s="45" t="s">
        <v>66</v>
      </c>
      <c r="N49" s="40" t="s">
        <v>185</v>
      </c>
      <c r="O49" s="46" t="str">
        <f aca="false">IF(B49="","",IF(B49='By Room'!$C$4,COUNTIF($B$5:B49,'By Room'!$C$4),""))</f>
        <v/>
      </c>
    </row>
    <row r="50" customFormat="false" ht="23.85" hidden="false" customHeight="false" outlineLevel="0" collapsed="false">
      <c r="A50" s="39" t="s">
        <v>186</v>
      </c>
      <c r="B50" s="39" t="s">
        <v>73</v>
      </c>
      <c r="C50" s="39" t="s">
        <v>187</v>
      </c>
      <c r="D50" s="40" t="s">
        <v>188</v>
      </c>
      <c r="E50" s="40" t="s">
        <v>189</v>
      </c>
      <c r="F50" s="40" t="s">
        <v>190</v>
      </c>
      <c r="G50" s="45" t="n">
        <v>1</v>
      </c>
      <c r="H50" s="39" t="s">
        <v>191</v>
      </c>
      <c r="I50" s="42"/>
      <c r="J50" s="43" t="str">
        <f aca="false">IF(OR(I50="",G50=""),"",G50*I50)</f>
        <v/>
      </c>
      <c r="K50" s="44" t="str">
        <f aca="false">IF(J50="","",J50/'Start Here'!$C$6)</f>
        <v/>
      </c>
      <c r="L50" s="45"/>
      <c r="M50" s="45" t="s">
        <v>66</v>
      </c>
      <c r="N50" s="40" t="s">
        <v>192</v>
      </c>
      <c r="O50" s="46" t="str">
        <f aca="false">IF(B50="","",IF(B50='By Room'!$C$4,COUNTIF($B$5:B50,'By Room'!$C$4),""))</f>
        <v/>
      </c>
    </row>
    <row r="51" customFormat="false" ht="23.85" hidden="false" customHeight="false" outlineLevel="0" collapsed="false">
      <c r="A51" s="39" t="s">
        <v>193</v>
      </c>
      <c r="B51" s="39" t="s">
        <v>92</v>
      </c>
      <c r="C51" s="39" t="s">
        <v>187</v>
      </c>
      <c r="D51" s="40" t="s">
        <v>194</v>
      </c>
      <c r="E51" s="40" t="s">
        <v>195</v>
      </c>
      <c r="F51" s="40" t="s">
        <v>196</v>
      </c>
      <c r="G51" s="45" t="n">
        <v>1</v>
      </c>
      <c r="H51" s="39" t="s">
        <v>191</v>
      </c>
      <c r="I51" s="42"/>
      <c r="J51" s="43" t="str">
        <f aca="false">IF(OR(I51="",G51=""),"",G51*I51)</f>
        <v/>
      </c>
      <c r="K51" s="44" t="str">
        <f aca="false">IF(J51="","",J51/'Start Here'!$C$6)</f>
        <v/>
      </c>
      <c r="L51" s="45"/>
      <c r="M51" s="45" t="s">
        <v>66</v>
      </c>
      <c r="N51" s="40" t="s">
        <v>197</v>
      </c>
      <c r="O51" s="46" t="str">
        <f aca="false">IF(B51="","",IF(B51='By Room'!$C$4,COUNTIF($B$5:B51,'By Room'!$C$4),""))</f>
        <v/>
      </c>
    </row>
    <row r="52" customFormat="false" ht="35.05" hidden="false" customHeight="false" outlineLevel="0" collapsed="false">
      <c r="A52" s="39" t="s">
        <v>198</v>
      </c>
      <c r="B52" s="39" t="s">
        <v>92</v>
      </c>
      <c r="C52" s="39" t="s">
        <v>187</v>
      </c>
      <c r="D52" s="40" t="s">
        <v>199</v>
      </c>
      <c r="E52" s="40" t="s">
        <v>200</v>
      </c>
      <c r="F52" s="40" t="s">
        <v>201</v>
      </c>
      <c r="G52" s="45" t="n">
        <v>1</v>
      </c>
      <c r="H52" s="39" t="s">
        <v>191</v>
      </c>
      <c r="I52" s="42"/>
      <c r="J52" s="43" t="str">
        <f aca="false">IF(OR(I52="",G52=""),"",G52*I52)</f>
        <v/>
      </c>
      <c r="K52" s="44" t="str">
        <f aca="false">IF(J52="","",J52/'Start Here'!$C$6)</f>
        <v/>
      </c>
      <c r="L52" s="45"/>
      <c r="M52" s="45" t="s">
        <v>66</v>
      </c>
      <c r="N52" s="40"/>
      <c r="O52" s="46" t="str">
        <f aca="false">IF(B52="","",IF(B52='By Room'!$C$4,COUNTIF($B$5:B52,'By Room'!$C$4),""))</f>
        <v/>
      </c>
    </row>
    <row r="53" customFormat="false" ht="23.85" hidden="false" customHeight="false" outlineLevel="0" collapsed="false">
      <c r="A53" s="39" t="s">
        <v>202</v>
      </c>
      <c r="B53" s="39" t="s">
        <v>92</v>
      </c>
      <c r="C53" s="39" t="s">
        <v>187</v>
      </c>
      <c r="D53" s="40" t="s">
        <v>203</v>
      </c>
      <c r="E53" s="40" t="s">
        <v>204</v>
      </c>
      <c r="F53" s="40" t="s">
        <v>205</v>
      </c>
      <c r="G53" s="45" t="n">
        <v>1</v>
      </c>
      <c r="H53" s="39" t="s">
        <v>117</v>
      </c>
      <c r="I53" s="42"/>
      <c r="J53" s="43" t="str">
        <f aca="false">IF(OR(I53="",G53=""),"",G53*I53)</f>
        <v/>
      </c>
      <c r="K53" s="44" t="str">
        <f aca="false">IF(J53="","",J53/'Start Here'!$C$6)</f>
        <v/>
      </c>
      <c r="L53" s="45"/>
      <c r="M53" s="45" t="s">
        <v>66</v>
      </c>
      <c r="N53" s="40"/>
      <c r="O53" s="46" t="str">
        <f aca="false">IF(B53="","",IF(B53='By Room'!$C$4,COUNTIF($B$5:B53,'By Room'!$C$4),""))</f>
        <v/>
      </c>
    </row>
    <row r="54" customFormat="false" ht="23.85" hidden="false" customHeight="false" outlineLevel="0" collapsed="false">
      <c r="A54" s="39" t="s">
        <v>206</v>
      </c>
      <c r="B54" s="39" t="s">
        <v>92</v>
      </c>
      <c r="C54" s="39" t="s">
        <v>187</v>
      </c>
      <c r="D54" s="40" t="s">
        <v>207</v>
      </c>
      <c r="E54" s="40" t="s">
        <v>208</v>
      </c>
      <c r="F54" s="40" t="s">
        <v>209</v>
      </c>
      <c r="G54" s="45" t="n">
        <v>1</v>
      </c>
      <c r="H54" s="39" t="s">
        <v>191</v>
      </c>
      <c r="I54" s="42"/>
      <c r="J54" s="43" t="str">
        <f aca="false">IF(OR(I54="",G54=""),"",G54*I54)</f>
        <v/>
      </c>
      <c r="K54" s="44" t="str">
        <f aca="false">IF(J54="","",J54/'Start Here'!$C$6)</f>
        <v/>
      </c>
      <c r="L54" s="45"/>
      <c r="M54" s="45" t="s">
        <v>66</v>
      </c>
      <c r="N54" s="40" t="s">
        <v>210</v>
      </c>
      <c r="O54" s="46" t="str">
        <f aca="false">IF(B54="","",IF(B54='By Room'!$C$4,COUNTIF($B$5:B54,'By Room'!$C$4),""))</f>
        <v/>
      </c>
    </row>
    <row r="55" customFormat="false" ht="15" hidden="false" customHeight="false" outlineLevel="0" collapsed="false">
      <c r="A55" s="39" t="s">
        <v>211</v>
      </c>
      <c r="B55" s="39" t="s">
        <v>92</v>
      </c>
      <c r="C55" s="39" t="s">
        <v>187</v>
      </c>
      <c r="D55" s="40" t="s">
        <v>212</v>
      </c>
      <c r="E55" s="40" t="s">
        <v>213</v>
      </c>
      <c r="F55" s="40" t="s">
        <v>214</v>
      </c>
      <c r="G55" s="45" t="n">
        <v>1</v>
      </c>
      <c r="H55" s="39" t="s">
        <v>191</v>
      </c>
      <c r="I55" s="42"/>
      <c r="J55" s="43" t="str">
        <f aca="false">IF(OR(I55="",G55=""),"",G55*I55)</f>
        <v/>
      </c>
      <c r="K55" s="44" t="str">
        <f aca="false">IF(J55="","",J55/'Start Here'!$C$6)</f>
        <v/>
      </c>
      <c r="L55" s="45"/>
      <c r="M55" s="45" t="s">
        <v>66</v>
      </c>
      <c r="N55" s="40" t="s">
        <v>215</v>
      </c>
      <c r="O55" s="46" t="str">
        <f aca="false">IF(B55="","",IF(B55='By Room'!$C$4,COUNTIF($B$5:B55,'By Room'!$C$4),""))</f>
        <v/>
      </c>
    </row>
    <row r="56" customFormat="false" ht="15" hidden="false" customHeight="false" outlineLevel="0" collapsed="false">
      <c r="A56" s="39" t="s">
        <v>216</v>
      </c>
      <c r="B56" s="39" t="s">
        <v>92</v>
      </c>
      <c r="C56" s="39" t="s">
        <v>187</v>
      </c>
      <c r="D56" s="40" t="s">
        <v>217</v>
      </c>
      <c r="E56" s="40" t="s">
        <v>218</v>
      </c>
      <c r="F56" s="40" t="s">
        <v>219</v>
      </c>
      <c r="G56" s="45" t="n">
        <v>1</v>
      </c>
      <c r="H56" s="39" t="s">
        <v>191</v>
      </c>
      <c r="I56" s="42"/>
      <c r="J56" s="43" t="str">
        <f aca="false">IF(OR(I56="",G56=""),"",G56*I56)</f>
        <v/>
      </c>
      <c r="K56" s="44" t="str">
        <f aca="false">IF(J56="","",J56/'Start Here'!$C$6)</f>
        <v/>
      </c>
      <c r="L56" s="45"/>
      <c r="M56" s="45" t="s">
        <v>66</v>
      </c>
      <c r="N56" s="40"/>
      <c r="O56" s="46" t="str">
        <f aca="false">IF(B56="","",IF(B56='By Room'!$C$4,COUNTIF($B$5:B56,'By Room'!$C$4),""))</f>
        <v/>
      </c>
    </row>
    <row r="57" customFormat="false" ht="23.85" hidden="false" customHeight="false" outlineLevel="0" collapsed="false">
      <c r="A57" s="39" t="s">
        <v>220</v>
      </c>
      <c r="B57" s="39" t="s">
        <v>92</v>
      </c>
      <c r="C57" s="39" t="s">
        <v>187</v>
      </c>
      <c r="D57" s="40" t="s">
        <v>221</v>
      </c>
      <c r="E57" s="40" t="s">
        <v>222</v>
      </c>
      <c r="F57" s="40" t="s">
        <v>223</v>
      </c>
      <c r="G57" s="45" t="n">
        <v>1</v>
      </c>
      <c r="H57" s="39" t="s">
        <v>117</v>
      </c>
      <c r="I57" s="42"/>
      <c r="J57" s="43" t="str">
        <f aca="false">IF(OR(I57="",G57=""),"",G57*I57)</f>
        <v/>
      </c>
      <c r="K57" s="44" t="str">
        <f aca="false">IF(J57="","",J57/'Start Here'!$C$6)</f>
        <v/>
      </c>
      <c r="L57" s="45"/>
      <c r="M57" s="45" t="s">
        <v>66</v>
      </c>
      <c r="N57" s="40" t="s">
        <v>224</v>
      </c>
      <c r="O57" s="46" t="str">
        <f aca="false">IF(B57="","",IF(B57='By Room'!$C$4,COUNTIF($B$5:B57,'By Room'!$C$4),""))</f>
        <v/>
      </c>
    </row>
    <row r="58" customFormat="false" ht="23.85" hidden="false" customHeight="false" outlineLevel="0" collapsed="false">
      <c r="A58" s="39" t="s">
        <v>225</v>
      </c>
      <c r="B58" s="39" t="s">
        <v>92</v>
      </c>
      <c r="C58" s="39" t="s">
        <v>187</v>
      </c>
      <c r="D58" s="40" t="s">
        <v>226</v>
      </c>
      <c r="E58" s="40" t="s">
        <v>204</v>
      </c>
      <c r="F58" s="40" t="s">
        <v>227</v>
      </c>
      <c r="G58" s="45" t="n">
        <v>1</v>
      </c>
      <c r="H58" s="39" t="s">
        <v>191</v>
      </c>
      <c r="I58" s="42"/>
      <c r="J58" s="43" t="str">
        <f aca="false">IF(OR(I58="",G58=""),"",G58*I58)</f>
        <v/>
      </c>
      <c r="K58" s="44" t="str">
        <f aca="false">IF(J58="","",J58/'Start Here'!$C$6)</f>
        <v/>
      </c>
      <c r="L58" s="45"/>
      <c r="M58" s="45" t="s">
        <v>66</v>
      </c>
      <c r="N58" s="40"/>
      <c r="O58" s="46" t="str">
        <f aca="false">IF(B58="","",IF(B58='By Room'!$C$4,COUNTIF($B$5:B58,'By Room'!$C$4),""))</f>
        <v/>
      </c>
    </row>
    <row r="59" customFormat="false" ht="15" hidden="false" customHeight="false" outlineLevel="0" collapsed="false">
      <c r="A59" s="39" t="s">
        <v>228</v>
      </c>
      <c r="B59" s="39" t="s">
        <v>92</v>
      </c>
      <c r="C59" s="39" t="s">
        <v>187</v>
      </c>
      <c r="D59" s="40" t="s">
        <v>229</v>
      </c>
      <c r="E59" s="40" t="s">
        <v>230</v>
      </c>
      <c r="F59" s="40" t="s">
        <v>231</v>
      </c>
      <c r="G59" s="45" t="n">
        <v>1</v>
      </c>
      <c r="H59" s="39" t="s">
        <v>117</v>
      </c>
      <c r="I59" s="42"/>
      <c r="J59" s="43" t="str">
        <f aca="false">IF(OR(I59="",G59=""),"",G59*I59)</f>
        <v/>
      </c>
      <c r="K59" s="44" t="str">
        <f aca="false">IF(J59="","",J59/'Start Here'!$C$6)</f>
        <v/>
      </c>
      <c r="L59" s="45"/>
      <c r="M59" s="45" t="s">
        <v>66</v>
      </c>
      <c r="N59" s="40"/>
      <c r="O59" s="46" t="str">
        <f aca="false">IF(B59="","",IF(B59='By Room'!$C$4,COUNTIF($B$5:B59,'By Room'!$C$4),""))</f>
        <v/>
      </c>
    </row>
    <row r="60" customFormat="false" ht="15" hidden="false" customHeight="false" outlineLevel="0" collapsed="false">
      <c r="A60" s="39" t="s">
        <v>232</v>
      </c>
      <c r="B60" s="39" t="s">
        <v>92</v>
      </c>
      <c r="C60" s="39" t="s">
        <v>187</v>
      </c>
      <c r="D60" s="40" t="s">
        <v>233</v>
      </c>
      <c r="E60" s="40" t="s">
        <v>234</v>
      </c>
      <c r="F60" s="40" t="s">
        <v>235</v>
      </c>
      <c r="G60" s="45" t="n">
        <v>1</v>
      </c>
      <c r="H60" s="39" t="s">
        <v>191</v>
      </c>
      <c r="I60" s="42"/>
      <c r="J60" s="43" t="str">
        <f aca="false">IF(OR(I60="",G60=""),"",G60*I60)</f>
        <v/>
      </c>
      <c r="K60" s="44" t="str">
        <f aca="false">IF(J60="","",J60/'Start Here'!$C$6)</f>
        <v/>
      </c>
      <c r="L60" s="45"/>
      <c r="M60" s="45" t="s">
        <v>66</v>
      </c>
      <c r="N60" s="40"/>
      <c r="O60" s="46" t="str">
        <f aca="false">IF(B60="","",IF(B60='By Room'!$C$4,COUNTIF($B$5:B60,'By Room'!$C$4),""))</f>
        <v/>
      </c>
    </row>
    <row r="61" customFormat="false" ht="23.85" hidden="false" customHeight="false" outlineLevel="0" collapsed="false">
      <c r="A61" s="39" t="s">
        <v>236</v>
      </c>
      <c r="B61" s="39" t="s">
        <v>102</v>
      </c>
      <c r="C61" s="39" t="s">
        <v>187</v>
      </c>
      <c r="D61" s="40" t="s">
        <v>194</v>
      </c>
      <c r="E61" s="40" t="s">
        <v>195</v>
      </c>
      <c r="F61" s="40" t="s">
        <v>196</v>
      </c>
      <c r="G61" s="45" t="n">
        <v>1</v>
      </c>
      <c r="H61" s="39" t="s">
        <v>191</v>
      </c>
      <c r="I61" s="42"/>
      <c r="J61" s="43" t="str">
        <f aca="false">IF(OR(I61="",G61=""),"",G61*I61)</f>
        <v/>
      </c>
      <c r="K61" s="44" t="str">
        <f aca="false">IF(J61="","",J61/'Start Here'!$C$6)</f>
        <v/>
      </c>
      <c r="L61" s="45"/>
      <c r="M61" s="45" t="s">
        <v>66</v>
      </c>
      <c r="N61" s="40" t="s">
        <v>197</v>
      </c>
      <c r="O61" s="46" t="str">
        <f aca="false">IF(B61="","",IF(B61='By Room'!$C$4,COUNTIF($B$5:B61,'By Room'!$C$4),""))</f>
        <v/>
      </c>
    </row>
    <row r="62" customFormat="false" ht="15" hidden="false" customHeight="false" outlineLevel="0" collapsed="false">
      <c r="A62" s="39" t="s">
        <v>237</v>
      </c>
      <c r="B62" s="39" t="s">
        <v>102</v>
      </c>
      <c r="C62" s="39" t="s">
        <v>187</v>
      </c>
      <c r="D62" s="40" t="s">
        <v>238</v>
      </c>
      <c r="E62" s="40" t="s">
        <v>239</v>
      </c>
      <c r="F62" s="40" t="s">
        <v>240</v>
      </c>
      <c r="G62" s="45" t="n">
        <v>1</v>
      </c>
      <c r="H62" s="39" t="s">
        <v>191</v>
      </c>
      <c r="I62" s="42"/>
      <c r="J62" s="43" t="str">
        <f aca="false">IF(OR(I62="",G62=""),"",G62*I62)</f>
        <v/>
      </c>
      <c r="K62" s="44" t="str">
        <f aca="false">IF(J62="","",J62/'Start Here'!$C$6)</f>
        <v/>
      </c>
      <c r="L62" s="45"/>
      <c r="M62" s="45" t="s">
        <v>66</v>
      </c>
      <c r="N62" s="40"/>
      <c r="O62" s="46" t="str">
        <f aca="false">IF(B62="","",IF(B62='By Room'!$C$4,COUNTIF($B$5:B62,'By Room'!$C$4),""))</f>
        <v/>
      </c>
    </row>
    <row r="63" customFormat="false" ht="23.85" hidden="false" customHeight="false" outlineLevel="0" collapsed="false">
      <c r="A63" s="39" t="s">
        <v>241</v>
      </c>
      <c r="B63" s="39" t="s">
        <v>102</v>
      </c>
      <c r="C63" s="39" t="s">
        <v>187</v>
      </c>
      <c r="D63" s="40" t="s">
        <v>203</v>
      </c>
      <c r="E63" s="40" t="s">
        <v>204</v>
      </c>
      <c r="F63" s="40" t="s">
        <v>205</v>
      </c>
      <c r="G63" s="45" t="n">
        <v>1</v>
      </c>
      <c r="H63" s="39" t="s">
        <v>117</v>
      </c>
      <c r="I63" s="42"/>
      <c r="J63" s="43" t="str">
        <f aca="false">IF(OR(I63="",G63=""),"",G63*I63)</f>
        <v/>
      </c>
      <c r="K63" s="44" t="str">
        <f aca="false">IF(J63="","",J63/'Start Here'!$C$6)</f>
        <v/>
      </c>
      <c r="L63" s="45"/>
      <c r="M63" s="45" t="s">
        <v>66</v>
      </c>
      <c r="N63" s="40"/>
      <c r="O63" s="46" t="str">
        <f aca="false">IF(B63="","",IF(B63='By Room'!$C$4,COUNTIF($B$5:B63,'By Room'!$C$4),""))</f>
        <v/>
      </c>
    </row>
    <row r="64" customFormat="false" ht="15" hidden="false" customHeight="false" outlineLevel="0" collapsed="false">
      <c r="A64" s="39" t="s">
        <v>242</v>
      </c>
      <c r="B64" s="39" t="s">
        <v>102</v>
      </c>
      <c r="C64" s="39" t="s">
        <v>187</v>
      </c>
      <c r="D64" s="40" t="s">
        <v>243</v>
      </c>
      <c r="E64" s="40" t="s">
        <v>244</v>
      </c>
      <c r="F64" s="40" t="s">
        <v>245</v>
      </c>
      <c r="G64" s="45" t="n">
        <v>1</v>
      </c>
      <c r="H64" s="39" t="s">
        <v>117</v>
      </c>
      <c r="I64" s="42"/>
      <c r="J64" s="43" t="str">
        <f aca="false">IF(OR(I64="",G64=""),"",G64*I64)</f>
        <v/>
      </c>
      <c r="K64" s="44" t="str">
        <f aca="false">IF(J64="","",J64/'Start Here'!$C$6)</f>
        <v/>
      </c>
      <c r="L64" s="45"/>
      <c r="M64" s="45" t="s">
        <v>66</v>
      </c>
      <c r="N64" s="40"/>
      <c r="O64" s="46" t="str">
        <f aca="false">IF(B64="","",IF(B64='By Room'!$C$4,COUNTIF($B$5:B64,'By Room'!$C$4),""))</f>
        <v/>
      </c>
    </row>
    <row r="65" customFormat="false" ht="23.85" hidden="false" customHeight="false" outlineLevel="0" collapsed="false">
      <c r="A65" s="39" t="s">
        <v>246</v>
      </c>
      <c r="B65" s="39" t="s">
        <v>102</v>
      </c>
      <c r="C65" s="39" t="s">
        <v>187</v>
      </c>
      <c r="D65" s="40" t="s">
        <v>226</v>
      </c>
      <c r="E65" s="40" t="s">
        <v>204</v>
      </c>
      <c r="F65" s="40" t="s">
        <v>227</v>
      </c>
      <c r="G65" s="45" t="n">
        <v>1</v>
      </c>
      <c r="H65" s="39" t="s">
        <v>191</v>
      </c>
      <c r="I65" s="42"/>
      <c r="J65" s="43" t="str">
        <f aca="false">IF(OR(I65="",G65=""),"",G65*I65)</f>
        <v/>
      </c>
      <c r="K65" s="44" t="str">
        <f aca="false">IF(J65="","",J65/'Start Here'!$C$6)</f>
        <v/>
      </c>
      <c r="L65" s="45"/>
      <c r="M65" s="45" t="s">
        <v>66</v>
      </c>
      <c r="N65" s="40"/>
      <c r="O65" s="46" t="str">
        <f aca="false">IF(B65="","",IF(B65='By Room'!$C$4,COUNTIF($B$5:B65,'By Room'!$C$4),""))</f>
        <v/>
      </c>
    </row>
    <row r="66" customFormat="false" ht="15" hidden="false" customHeight="false" outlineLevel="0" collapsed="false">
      <c r="A66" s="39" t="s">
        <v>247</v>
      </c>
      <c r="B66" s="39" t="s">
        <v>102</v>
      </c>
      <c r="C66" s="39" t="s">
        <v>187</v>
      </c>
      <c r="D66" s="40" t="s">
        <v>229</v>
      </c>
      <c r="E66" s="40" t="s">
        <v>230</v>
      </c>
      <c r="F66" s="40" t="s">
        <v>248</v>
      </c>
      <c r="G66" s="45" t="n">
        <v>1</v>
      </c>
      <c r="H66" s="39" t="s">
        <v>117</v>
      </c>
      <c r="I66" s="42"/>
      <c r="J66" s="43" t="str">
        <f aca="false">IF(OR(I66="",G66=""),"",G66*I66)</f>
        <v/>
      </c>
      <c r="K66" s="44" t="str">
        <f aca="false">IF(J66="","",J66/'Start Here'!$C$6)</f>
        <v/>
      </c>
      <c r="L66" s="45"/>
      <c r="M66" s="45" t="s">
        <v>66</v>
      </c>
      <c r="N66" s="40"/>
      <c r="O66" s="46" t="str">
        <f aca="false">IF(B66="","",IF(B66='By Room'!$C$4,COUNTIF($B$5:B66,'By Room'!$C$4),""))</f>
        <v/>
      </c>
    </row>
    <row r="67" customFormat="false" ht="15" hidden="false" customHeight="false" outlineLevel="0" collapsed="false">
      <c r="A67" s="39" t="s">
        <v>249</v>
      </c>
      <c r="B67" s="39" t="s">
        <v>102</v>
      </c>
      <c r="C67" s="39" t="s">
        <v>187</v>
      </c>
      <c r="D67" s="40" t="s">
        <v>233</v>
      </c>
      <c r="E67" s="40" t="s">
        <v>234</v>
      </c>
      <c r="F67" s="40" t="s">
        <v>235</v>
      </c>
      <c r="G67" s="45" t="n">
        <v>1</v>
      </c>
      <c r="H67" s="39" t="s">
        <v>191</v>
      </c>
      <c r="I67" s="42"/>
      <c r="J67" s="43" t="str">
        <f aca="false">IF(OR(I67="",G67=""),"",G67*I67)</f>
        <v/>
      </c>
      <c r="K67" s="44" t="str">
        <f aca="false">IF(J67="","",J67/'Start Here'!$C$6)</f>
        <v/>
      </c>
      <c r="L67" s="45"/>
      <c r="M67" s="45" t="s">
        <v>66</v>
      </c>
      <c r="N67" s="40"/>
      <c r="O67" s="46" t="str">
        <f aca="false">IF(B67="","",IF(B67='By Room'!$C$4,COUNTIF($B$5:B67,'By Room'!$C$4),""))</f>
        <v/>
      </c>
    </row>
    <row r="68" customFormat="false" ht="23.85" hidden="false" customHeight="false" outlineLevel="0" collapsed="false">
      <c r="A68" s="39" t="s">
        <v>250</v>
      </c>
      <c r="B68" s="39" t="s">
        <v>133</v>
      </c>
      <c r="C68" s="39" t="s">
        <v>187</v>
      </c>
      <c r="D68" s="40" t="s">
        <v>194</v>
      </c>
      <c r="E68" s="40" t="s">
        <v>195</v>
      </c>
      <c r="F68" s="40" t="s">
        <v>196</v>
      </c>
      <c r="G68" s="45" t="n">
        <v>1</v>
      </c>
      <c r="H68" s="39" t="s">
        <v>191</v>
      </c>
      <c r="I68" s="42"/>
      <c r="J68" s="43" t="str">
        <f aca="false">IF(OR(I68="",G68=""),"",G68*I68)</f>
        <v/>
      </c>
      <c r="K68" s="44" t="str">
        <f aca="false">IF(J68="","",J68/'Start Here'!$C$6)</f>
        <v/>
      </c>
      <c r="L68" s="45"/>
      <c r="M68" s="45" t="s">
        <v>66</v>
      </c>
      <c r="N68" s="40" t="s">
        <v>197</v>
      </c>
      <c r="O68" s="46" t="str">
        <f aca="false">IF(B68="","",IF(B68='By Room'!$C$4,COUNTIF($B$5:B68,'By Room'!$C$4),""))</f>
        <v/>
      </c>
    </row>
    <row r="69" customFormat="false" ht="35.05" hidden="false" customHeight="false" outlineLevel="0" collapsed="false">
      <c r="A69" s="39" t="s">
        <v>251</v>
      </c>
      <c r="B69" s="39" t="s">
        <v>133</v>
      </c>
      <c r="C69" s="39" t="s">
        <v>187</v>
      </c>
      <c r="D69" s="40" t="s">
        <v>252</v>
      </c>
      <c r="E69" s="40" t="s">
        <v>200</v>
      </c>
      <c r="F69" s="40" t="s">
        <v>253</v>
      </c>
      <c r="G69" s="45" t="n">
        <v>1</v>
      </c>
      <c r="H69" s="39" t="s">
        <v>191</v>
      </c>
      <c r="I69" s="42"/>
      <c r="J69" s="43" t="str">
        <f aca="false">IF(OR(I69="",G69=""),"",G69*I69)</f>
        <v/>
      </c>
      <c r="K69" s="44" t="str">
        <f aca="false">IF(J69="","",J69/'Start Here'!$C$6)</f>
        <v/>
      </c>
      <c r="L69" s="45"/>
      <c r="M69" s="45" t="s">
        <v>66</v>
      </c>
      <c r="N69" s="40"/>
      <c r="O69" s="46" t="str">
        <f aca="false">IF(B69="","",IF(B69='By Room'!$C$4,COUNTIF($B$5:B69,'By Room'!$C$4),""))</f>
        <v/>
      </c>
    </row>
    <row r="70" customFormat="false" ht="23.85" hidden="false" customHeight="false" outlineLevel="0" collapsed="false">
      <c r="A70" s="39" t="s">
        <v>254</v>
      </c>
      <c r="B70" s="39" t="s">
        <v>133</v>
      </c>
      <c r="C70" s="39" t="s">
        <v>187</v>
      </c>
      <c r="D70" s="40" t="s">
        <v>255</v>
      </c>
      <c r="E70" s="40" t="s">
        <v>204</v>
      </c>
      <c r="F70" s="40" t="s">
        <v>205</v>
      </c>
      <c r="G70" s="45" t="n">
        <v>2</v>
      </c>
      <c r="H70" s="39" t="s">
        <v>117</v>
      </c>
      <c r="I70" s="42"/>
      <c r="J70" s="43" t="str">
        <f aca="false">IF(OR(I70="",G70=""),"",G70*I70)</f>
        <v/>
      </c>
      <c r="K70" s="44" t="str">
        <f aca="false">IF(J70="","",J70/'Start Here'!$C$6)</f>
        <v/>
      </c>
      <c r="L70" s="45"/>
      <c r="M70" s="45" t="s">
        <v>66</v>
      </c>
      <c r="N70" s="40"/>
      <c r="O70" s="46" t="str">
        <f aca="false">IF(B70="","",IF(B70='By Room'!$C$4,COUNTIF($B$5:B70,'By Room'!$C$4),""))</f>
        <v/>
      </c>
    </row>
    <row r="71" customFormat="false" ht="23.85" hidden="false" customHeight="false" outlineLevel="0" collapsed="false">
      <c r="A71" s="39" t="s">
        <v>256</v>
      </c>
      <c r="B71" s="39" t="s">
        <v>133</v>
      </c>
      <c r="C71" s="39" t="s">
        <v>187</v>
      </c>
      <c r="D71" s="40" t="s">
        <v>257</v>
      </c>
      <c r="E71" s="40" t="s">
        <v>258</v>
      </c>
      <c r="F71" s="40" t="s">
        <v>259</v>
      </c>
      <c r="G71" s="45" t="n">
        <v>1</v>
      </c>
      <c r="H71" s="39" t="s">
        <v>191</v>
      </c>
      <c r="I71" s="42"/>
      <c r="J71" s="43" t="str">
        <f aca="false">IF(OR(I71="",G71=""),"",G71*I71)</f>
        <v/>
      </c>
      <c r="K71" s="44" t="str">
        <f aca="false">IF(J71="","",J71/'Start Here'!$C$6)</f>
        <v/>
      </c>
      <c r="L71" s="45"/>
      <c r="M71" s="45" t="s">
        <v>66</v>
      </c>
      <c r="N71" s="40" t="s">
        <v>260</v>
      </c>
      <c r="O71" s="46" t="str">
        <f aca="false">IF(B71="","",IF(B71='By Room'!$C$4,COUNTIF($B$5:B71,'By Room'!$C$4),""))</f>
        <v/>
      </c>
    </row>
    <row r="72" customFormat="false" ht="23.85" hidden="false" customHeight="false" outlineLevel="0" collapsed="false">
      <c r="A72" s="39" t="s">
        <v>261</v>
      </c>
      <c r="B72" s="39" t="s">
        <v>133</v>
      </c>
      <c r="C72" s="39" t="s">
        <v>187</v>
      </c>
      <c r="D72" s="40" t="s">
        <v>207</v>
      </c>
      <c r="E72" s="40" t="s">
        <v>208</v>
      </c>
      <c r="F72" s="40" t="s">
        <v>209</v>
      </c>
      <c r="G72" s="45" t="n">
        <v>1</v>
      </c>
      <c r="H72" s="39" t="s">
        <v>191</v>
      </c>
      <c r="I72" s="42"/>
      <c r="J72" s="43" t="str">
        <f aca="false">IF(OR(I72="",G72=""),"",G72*I72)</f>
        <v/>
      </c>
      <c r="K72" s="44" t="str">
        <f aca="false">IF(J72="","",J72/'Start Here'!$C$6)</f>
        <v/>
      </c>
      <c r="L72" s="45"/>
      <c r="M72" s="45" t="s">
        <v>66</v>
      </c>
      <c r="N72" s="40" t="s">
        <v>210</v>
      </c>
      <c r="O72" s="46" t="str">
        <f aca="false">IF(B72="","",IF(B72='By Room'!$C$4,COUNTIF($B$5:B72,'By Room'!$C$4),""))</f>
        <v/>
      </c>
    </row>
    <row r="73" customFormat="false" ht="15" hidden="false" customHeight="false" outlineLevel="0" collapsed="false">
      <c r="A73" s="39" t="s">
        <v>262</v>
      </c>
      <c r="B73" s="39" t="s">
        <v>133</v>
      </c>
      <c r="C73" s="39" t="s">
        <v>187</v>
      </c>
      <c r="D73" s="40" t="s">
        <v>212</v>
      </c>
      <c r="E73" s="40" t="s">
        <v>213</v>
      </c>
      <c r="F73" s="40" t="s">
        <v>214</v>
      </c>
      <c r="G73" s="45" t="n">
        <v>1</v>
      </c>
      <c r="H73" s="39" t="s">
        <v>191</v>
      </c>
      <c r="I73" s="42"/>
      <c r="J73" s="43" t="str">
        <f aca="false">IF(OR(I73="",G73=""),"",G73*I73)</f>
        <v/>
      </c>
      <c r="K73" s="44" t="str">
        <f aca="false">IF(J73="","",J73/'Start Here'!$C$6)</f>
        <v/>
      </c>
      <c r="L73" s="45"/>
      <c r="M73" s="45" t="s">
        <v>66</v>
      </c>
      <c r="N73" s="40" t="s">
        <v>215</v>
      </c>
      <c r="O73" s="46" t="str">
        <f aca="false">IF(B73="","",IF(B73='By Room'!$C$4,COUNTIF($B$5:B73,'By Room'!$C$4),""))</f>
        <v/>
      </c>
    </row>
    <row r="74" customFormat="false" ht="15" hidden="false" customHeight="false" outlineLevel="0" collapsed="false">
      <c r="A74" s="39" t="s">
        <v>263</v>
      </c>
      <c r="B74" s="39" t="s">
        <v>133</v>
      </c>
      <c r="C74" s="39" t="s">
        <v>187</v>
      </c>
      <c r="D74" s="40" t="s">
        <v>217</v>
      </c>
      <c r="E74" s="40" t="s">
        <v>218</v>
      </c>
      <c r="F74" s="40" t="s">
        <v>219</v>
      </c>
      <c r="G74" s="45" t="n">
        <v>1</v>
      </c>
      <c r="H74" s="39" t="s">
        <v>191</v>
      </c>
      <c r="I74" s="42"/>
      <c r="J74" s="43" t="str">
        <f aca="false">IF(OR(I74="",G74=""),"",G74*I74)</f>
        <v/>
      </c>
      <c r="K74" s="44" t="str">
        <f aca="false">IF(J74="","",J74/'Start Here'!$C$6)</f>
        <v/>
      </c>
      <c r="L74" s="45"/>
      <c r="M74" s="45" t="s">
        <v>66</v>
      </c>
      <c r="N74" s="40"/>
      <c r="O74" s="46" t="str">
        <f aca="false">IF(B74="","",IF(B74='By Room'!$C$4,COUNTIF($B$5:B74,'By Room'!$C$4),""))</f>
        <v/>
      </c>
    </row>
    <row r="75" customFormat="false" ht="23.85" hidden="false" customHeight="false" outlineLevel="0" collapsed="false">
      <c r="A75" s="39" t="s">
        <v>264</v>
      </c>
      <c r="B75" s="39" t="s">
        <v>133</v>
      </c>
      <c r="C75" s="39" t="s">
        <v>187</v>
      </c>
      <c r="D75" s="40" t="s">
        <v>221</v>
      </c>
      <c r="E75" s="40" t="s">
        <v>222</v>
      </c>
      <c r="F75" s="40" t="s">
        <v>223</v>
      </c>
      <c r="G75" s="45" t="n">
        <v>1</v>
      </c>
      <c r="H75" s="39" t="s">
        <v>117</v>
      </c>
      <c r="I75" s="42"/>
      <c r="J75" s="43" t="str">
        <f aca="false">IF(OR(I75="",G75=""),"",G75*I75)</f>
        <v/>
      </c>
      <c r="K75" s="44" t="str">
        <f aca="false">IF(J75="","",J75/'Start Here'!$C$6)</f>
        <v/>
      </c>
      <c r="L75" s="45"/>
      <c r="M75" s="45" t="s">
        <v>66</v>
      </c>
      <c r="N75" s="40" t="s">
        <v>224</v>
      </c>
      <c r="O75" s="46" t="str">
        <f aca="false">IF(B75="","",IF(B75='By Room'!$C$4,COUNTIF($B$5:B75,'By Room'!$C$4),""))</f>
        <v/>
      </c>
    </row>
    <row r="76" customFormat="false" ht="23.85" hidden="false" customHeight="false" outlineLevel="0" collapsed="false">
      <c r="A76" s="39" t="s">
        <v>265</v>
      </c>
      <c r="B76" s="39" t="s">
        <v>133</v>
      </c>
      <c r="C76" s="39" t="s">
        <v>187</v>
      </c>
      <c r="D76" s="40" t="s">
        <v>226</v>
      </c>
      <c r="E76" s="40" t="s">
        <v>204</v>
      </c>
      <c r="F76" s="40" t="s">
        <v>227</v>
      </c>
      <c r="G76" s="45" t="n">
        <v>1</v>
      </c>
      <c r="H76" s="39" t="s">
        <v>191</v>
      </c>
      <c r="I76" s="42"/>
      <c r="J76" s="43" t="str">
        <f aca="false">IF(OR(I76="",G76=""),"",G76*I76)</f>
        <v/>
      </c>
      <c r="K76" s="44" t="str">
        <f aca="false">IF(J76="","",J76/'Start Here'!$C$6)</f>
        <v/>
      </c>
      <c r="L76" s="45"/>
      <c r="M76" s="45" t="s">
        <v>66</v>
      </c>
      <c r="N76" s="40"/>
      <c r="O76" s="46" t="str">
        <f aca="false">IF(B76="","",IF(B76='By Room'!$C$4,COUNTIF($B$5:B76,'By Room'!$C$4),""))</f>
        <v/>
      </c>
    </row>
    <row r="77" customFormat="false" ht="15" hidden="false" customHeight="false" outlineLevel="0" collapsed="false">
      <c r="A77" s="39" t="s">
        <v>266</v>
      </c>
      <c r="B77" s="39" t="s">
        <v>133</v>
      </c>
      <c r="C77" s="39" t="s">
        <v>187</v>
      </c>
      <c r="D77" s="40" t="s">
        <v>229</v>
      </c>
      <c r="E77" s="40" t="s">
        <v>230</v>
      </c>
      <c r="F77" s="40" t="s">
        <v>267</v>
      </c>
      <c r="G77" s="45" t="n">
        <v>1</v>
      </c>
      <c r="H77" s="39" t="s">
        <v>117</v>
      </c>
      <c r="I77" s="42"/>
      <c r="J77" s="43" t="str">
        <f aca="false">IF(OR(I77="",G77=""),"",G77*I77)</f>
        <v/>
      </c>
      <c r="K77" s="44" t="str">
        <f aca="false">IF(J77="","",J77/'Start Here'!$C$6)</f>
        <v/>
      </c>
      <c r="L77" s="45"/>
      <c r="M77" s="45" t="s">
        <v>66</v>
      </c>
      <c r="N77" s="40"/>
      <c r="O77" s="46" t="str">
        <f aca="false">IF(B77="","",IF(B77='By Room'!$C$4,COUNTIF($B$5:B77,'By Room'!$C$4),""))</f>
        <v/>
      </c>
    </row>
    <row r="78" customFormat="false" ht="15" hidden="false" customHeight="false" outlineLevel="0" collapsed="false">
      <c r="A78" s="39" t="s">
        <v>268</v>
      </c>
      <c r="B78" s="39" t="s">
        <v>133</v>
      </c>
      <c r="C78" s="39" t="s">
        <v>187</v>
      </c>
      <c r="D78" s="40" t="s">
        <v>233</v>
      </c>
      <c r="E78" s="40" t="s">
        <v>234</v>
      </c>
      <c r="F78" s="40" t="s">
        <v>235</v>
      </c>
      <c r="G78" s="45" t="n">
        <v>1</v>
      </c>
      <c r="H78" s="39" t="s">
        <v>191</v>
      </c>
      <c r="I78" s="42"/>
      <c r="J78" s="43" t="str">
        <f aca="false">IF(OR(I78="",G78=""),"",G78*I78)</f>
        <v/>
      </c>
      <c r="K78" s="44" t="str">
        <f aca="false">IF(J78="","",J78/'Start Here'!$C$6)</f>
        <v/>
      </c>
      <c r="L78" s="45"/>
      <c r="M78" s="45" t="s">
        <v>66</v>
      </c>
      <c r="N78" s="40"/>
      <c r="O78" s="46" t="str">
        <f aca="false">IF(B78="","",IF(B78='By Room'!$C$4,COUNTIF($B$5:B78,'By Room'!$C$4),""))</f>
        <v/>
      </c>
    </row>
    <row r="79" customFormat="false" ht="23.85" hidden="false" customHeight="false" outlineLevel="0" collapsed="false">
      <c r="A79" s="39" t="s">
        <v>269</v>
      </c>
      <c r="B79" s="39" t="s">
        <v>140</v>
      </c>
      <c r="C79" s="39" t="s">
        <v>187</v>
      </c>
      <c r="D79" s="40" t="s">
        <v>194</v>
      </c>
      <c r="E79" s="40" t="s">
        <v>195</v>
      </c>
      <c r="F79" s="40" t="s">
        <v>196</v>
      </c>
      <c r="G79" s="45" t="n">
        <v>1</v>
      </c>
      <c r="H79" s="39" t="s">
        <v>191</v>
      </c>
      <c r="I79" s="42"/>
      <c r="J79" s="43" t="str">
        <f aca="false">IF(OR(I79="",G79=""),"",G79*I79)</f>
        <v/>
      </c>
      <c r="K79" s="44" t="str">
        <f aca="false">IF(J79="","",J79/'Start Here'!$C$6)</f>
        <v/>
      </c>
      <c r="L79" s="45"/>
      <c r="M79" s="45" t="s">
        <v>66</v>
      </c>
      <c r="N79" s="40" t="s">
        <v>197</v>
      </c>
      <c r="O79" s="46" t="str">
        <f aca="false">IF(B79="","",IF(B79='By Room'!$C$4,COUNTIF($B$5:B79,'By Room'!$C$4),""))</f>
        <v/>
      </c>
    </row>
    <row r="80" customFormat="false" ht="35.05" hidden="false" customHeight="false" outlineLevel="0" collapsed="false">
      <c r="A80" s="39" t="s">
        <v>270</v>
      </c>
      <c r="B80" s="39" t="s">
        <v>140</v>
      </c>
      <c r="C80" s="39" t="s">
        <v>187</v>
      </c>
      <c r="D80" s="40" t="s">
        <v>199</v>
      </c>
      <c r="E80" s="40" t="s">
        <v>200</v>
      </c>
      <c r="F80" s="40" t="s">
        <v>201</v>
      </c>
      <c r="G80" s="45" t="n">
        <v>1</v>
      </c>
      <c r="H80" s="39" t="s">
        <v>191</v>
      </c>
      <c r="I80" s="42"/>
      <c r="J80" s="43" t="str">
        <f aca="false">IF(OR(I80="",G80=""),"",G80*I80)</f>
        <v/>
      </c>
      <c r="K80" s="44" t="str">
        <f aca="false">IF(J80="","",J80/'Start Here'!$C$6)</f>
        <v/>
      </c>
      <c r="L80" s="45"/>
      <c r="M80" s="45" t="s">
        <v>66</v>
      </c>
      <c r="N80" s="40"/>
      <c r="O80" s="46" t="str">
        <f aca="false">IF(B80="","",IF(B80='By Room'!$C$4,COUNTIF($B$5:B80,'By Room'!$C$4),""))</f>
        <v/>
      </c>
    </row>
    <row r="81" customFormat="false" ht="23.85" hidden="false" customHeight="false" outlineLevel="0" collapsed="false">
      <c r="A81" s="39" t="s">
        <v>271</v>
      </c>
      <c r="B81" s="39" t="s">
        <v>140</v>
      </c>
      <c r="C81" s="39" t="s">
        <v>187</v>
      </c>
      <c r="D81" s="40" t="s">
        <v>203</v>
      </c>
      <c r="E81" s="40" t="s">
        <v>204</v>
      </c>
      <c r="F81" s="40" t="s">
        <v>205</v>
      </c>
      <c r="G81" s="45" t="n">
        <v>1</v>
      </c>
      <c r="H81" s="39" t="s">
        <v>117</v>
      </c>
      <c r="I81" s="42"/>
      <c r="J81" s="43" t="str">
        <f aca="false">IF(OR(I81="",G81=""),"",G81*I81)</f>
        <v/>
      </c>
      <c r="K81" s="44" t="str">
        <f aca="false">IF(J81="","",J81/'Start Here'!$C$6)</f>
        <v/>
      </c>
      <c r="L81" s="45"/>
      <c r="M81" s="45" t="s">
        <v>66</v>
      </c>
      <c r="N81" s="40"/>
      <c r="O81" s="46" t="str">
        <f aca="false">IF(B81="","",IF(B81='By Room'!$C$4,COUNTIF($B$5:B81,'By Room'!$C$4),""))</f>
        <v/>
      </c>
    </row>
    <row r="82" customFormat="false" ht="23.85" hidden="false" customHeight="false" outlineLevel="0" collapsed="false">
      <c r="A82" s="39" t="s">
        <v>272</v>
      </c>
      <c r="B82" s="39" t="s">
        <v>140</v>
      </c>
      <c r="C82" s="39" t="s">
        <v>187</v>
      </c>
      <c r="D82" s="40" t="s">
        <v>207</v>
      </c>
      <c r="E82" s="40" t="s">
        <v>208</v>
      </c>
      <c r="F82" s="40" t="s">
        <v>209</v>
      </c>
      <c r="G82" s="45" t="n">
        <v>1</v>
      </c>
      <c r="H82" s="39" t="s">
        <v>191</v>
      </c>
      <c r="I82" s="42"/>
      <c r="J82" s="43" t="str">
        <f aca="false">IF(OR(I82="",G82=""),"",G82*I82)</f>
        <v/>
      </c>
      <c r="K82" s="44" t="str">
        <f aca="false">IF(J82="","",J82/'Start Here'!$C$6)</f>
        <v/>
      </c>
      <c r="L82" s="45"/>
      <c r="M82" s="45" t="s">
        <v>66</v>
      </c>
      <c r="N82" s="40" t="s">
        <v>210</v>
      </c>
      <c r="O82" s="46" t="str">
        <f aca="false">IF(B82="","",IF(B82='By Room'!$C$4,COUNTIF($B$5:B82,'By Room'!$C$4),""))</f>
        <v/>
      </c>
    </row>
    <row r="83" customFormat="false" ht="15" hidden="false" customHeight="false" outlineLevel="0" collapsed="false">
      <c r="A83" s="39" t="s">
        <v>273</v>
      </c>
      <c r="B83" s="39" t="s">
        <v>140</v>
      </c>
      <c r="C83" s="39" t="s">
        <v>187</v>
      </c>
      <c r="D83" s="40" t="s">
        <v>212</v>
      </c>
      <c r="E83" s="40" t="s">
        <v>213</v>
      </c>
      <c r="F83" s="40" t="s">
        <v>214</v>
      </c>
      <c r="G83" s="45" t="n">
        <v>1</v>
      </c>
      <c r="H83" s="39" t="s">
        <v>191</v>
      </c>
      <c r="I83" s="42"/>
      <c r="J83" s="43" t="str">
        <f aca="false">IF(OR(I83="",G83=""),"",G83*I83)</f>
        <v/>
      </c>
      <c r="K83" s="44" t="str">
        <f aca="false">IF(J83="","",J83/'Start Here'!$C$6)</f>
        <v/>
      </c>
      <c r="L83" s="45"/>
      <c r="M83" s="45" t="s">
        <v>66</v>
      </c>
      <c r="N83" s="40" t="s">
        <v>215</v>
      </c>
      <c r="O83" s="46" t="str">
        <f aca="false">IF(B83="","",IF(B83='By Room'!$C$4,COUNTIF($B$5:B83,'By Room'!$C$4),""))</f>
        <v/>
      </c>
    </row>
    <row r="84" customFormat="false" ht="15" hidden="false" customHeight="false" outlineLevel="0" collapsed="false">
      <c r="A84" s="39" t="s">
        <v>274</v>
      </c>
      <c r="B84" s="39" t="s">
        <v>140</v>
      </c>
      <c r="C84" s="39" t="s">
        <v>187</v>
      </c>
      <c r="D84" s="40" t="s">
        <v>217</v>
      </c>
      <c r="E84" s="40" t="s">
        <v>218</v>
      </c>
      <c r="F84" s="40" t="s">
        <v>219</v>
      </c>
      <c r="G84" s="45" t="n">
        <v>1</v>
      </c>
      <c r="H84" s="39" t="s">
        <v>191</v>
      </c>
      <c r="I84" s="42"/>
      <c r="J84" s="43" t="str">
        <f aca="false">IF(OR(I84="",G84=""),"",G84*I84)</f>
        <v/>
      </c>
      <c r="K84" s="44" t="str">
        <f aca="false">IF(J84="","",J84/'Start Here'!$C$6)</f>
        <v/>
      </c>
      <c r="L84" s="45"/>
      <c r="M84" s="45" t="s">
        <v>66</v>
      </c>
      <c r="N84" s="40"/>
      <c r="O84" s="46" t="str">
        <f aca="false">IF(B84="","",IF(B84='By Room'!$C$4,COUNTIF($B$5:B84,'By Room'!$C$4),""))</f>
        <v/>
      </c>
    </row>
    <row r="85" customFormat="false" ht="23.85" hidden="false" customHeight="false" outlineLevel="0" collapsed="false">
      <c r="A85" s="39" t="s">
        <v>275</v>
      </c>
      <c r="B85" s="39" t="s">
        <v>140</v>
      </c>
      <c r="C85" s="39" t="s">
        <v>187</v>
      </c>
      <c r="D85" s="40" t="s">
        <v>221</v>
      </c>
      <c r="E85" s="40" t="s">
        <v>222</v>
      </c>
      <c r="F85" s="40" t="s">
        <v>223</v>
      </c>
      <c r="G85" s="45" t="n">
        <v>1</v>
      </c>
      <c r="H85" s="39" t="s">
        <v>117</v>
      </c>
      <c r="I85" s="42"/>
      <c r="J85" s="43" t="str">
        <f aca="false">IF(OR(I85="",G85=""),"",G85*I85)</f>
        <v/>
      </c>
      <c r="K85" s="44" t="str">
        <f aca="false">IF(J85="","",J85/'Start Here'!$C$6)</f>
        <v/>
      </c>
      <c r="L85" s="45"/>
      <c r="M85" s="45" t="s">
        <v>66</v>
      </c>
      <c r="N85" s="40" t="s">
        <v>224</v>
      </c>
      <c r="O85" s="46" t="str">
        <f aca="false">IF(B85="","",IF(B85='By Room'!$C$4,COUNTIF($B$5:B85,'By Room'!$C$4),""))</f>
        <v/>
      </c>
    </row>
    <row r="86" customFormat="false" ht="23.85" hidden="false" customHeight="false" outlineLevel="0" collapsed="false">
      <c r="A86" s="39" t="s">
        <v>276</v>
      </c>
      <c r="B86" s="39" t="s">
        <v>140</v>
      </c>
      <c r="C86" s="39" t="s">
        <v>187</v>
      </c>
      <c r="D86" s="40" t="s">
        <v>226</v>
      </c>
      <c r="E86" s="40" t="s">
        <v>204</v>
      </c>
      <c r="F86" s="40" t="s">
        <v>227</v>
      </c>
      <c r="G86" s="45" t="n">
        <v>1</v>
      </c>
      <c r="H86" s="39" t="s">
        <v>191</v>
      </c>
      <c r="I86" s="42"/>
      <c r="J86" s="43" t="str">
        <f aca="false">IF(OR(I86="",G86=""),"",G86*I86)</f>
        <v/>
      </c>
      <c r="K86" s="44" t="str">
        <f aca="false">IF(J86="","",J86/'Start Here'!$C$6)</f>
        <v/>
      </c>
      <c r="L86" s="45"/>
      <c r="M86" s="45" t="s">
        <v>66</v>
      </c>
      <c r="N86" s="40"/>
      <c r="O86" s="46" t="str">
        <f aca="false">IF(B86="","",IF(B86='By Room'!$C$4,COUNTIF($B$5:B86,'By Room'!$C$4),""))</f>
        <v/>
      </c>
    </row>
    <row r="87" customFormat="false" ht="15" hidden="false" customHeight="false" outlineLevel="0" collapsed="false">
      <c r="A87" s="39" t="s">
        <v>277</v>
      </c>
      <c r="B87" s="39" t="s">
        <v>140</v>
      </c>
      <c r="C87" s="39" t="s">
        <v>187</v>
      </c>
      <c r="D87" s="40" t="s">
        <v>229</v>
      </c>
      <c r="E87" s="40" t="s">
        <v>230</v>
      </c>
      <c r="F87" s="40" t="s">
        <v>231</v>
      </c>
      <c r="G87" s="45" t="n">
        <v>1</v>
      </c>
      <c r="H87" s="39" t="s">
        <v>117</v>
      </c>
      <c r="I87" s="42"/>
      <c r="J87" s="43" t="str">
        <f aca="false">IF(OR(I87="",G87=""),"",G87*I87)</f>
        <v/>
      </c>
      <c r="K87" s="44" t="str">
        <f aca="false">IF(J87="","",J87/'Start Here'!$C$6)</f>
        <v/>
      </c>
      <c r="L87" s="45"/>
      <c r="M87" s="45" t="s">
        <v>66</v>
      </c>
      <c r="N87" s="40"/>
      <c r="O87" s="46" t="str">
        <f aca="false">IF(B87="","",IF(B87='By Room'!$C$4,COUNTIF($B$5:B87,'By Room'!$C$4),""))</f>
        <v/>
      </c>
    </row>
    <row r="88" customFormat="false" ht="15" hidden="false" customHeight="false" outlineLevel="0" collapsed="false">
      <c r="A88" s="39" t="s">
        <v>278</v>
      </c>
      <c r="B88" s="39" t="s">
        <v>140</v>
      </c>
      <c r="C88" s="39" t="s">
        <v>187</v>
      </c>
      <c r="D88" s="40" t="s">
        <v>233</v>
      </c>
      <c r="E88" s="40" t="s">
        <v>234</v>
      </c>
      <c r="F88" s="40" t="s">
        <v>235</v>
      </c>
      <c r="G88" s="45" t="n">
        <v>1</v>
      </c>
      <c r="H88" s="39" t="s">
        <v>191</v>
      </c>
      <c r="I88" s="42"/>
      <c r="J88" s="43" t="str">
        <f aca="false">IF(OR(I88="",G88=""),"",G88*I88)</f>
        <v/>
      </c>
      <c r="K88" s="44" t="str">
        <f aca="false">IF(J88="","",J88/'Start Here'!$C$6)</f>
        <v/>
      </c>
      <c r="L88" s="45"/>
      <c r="M88" s="45" t="s">
        <v>66</v>
      </c>
      <c r="N88" s="40"/>
      <c r="O88" s="46" t="str">
        <f aca="false">IF(B88="","",IF(B88='By Room'!$C$4,COUNTIF($B$5:B88,'By Room'!$C$4),""))</f>
        <v/>
      </c>
    </row>
    <row r="89" customFormat="false" ht="23.85" hidden="false" customHeight="false" outlineLevel="0" collapsed="false">
      <c r="A89" s="39" t="s">
        <v>279</v>
      </c>
      <c r="B89" s="39" t="s">
        <v>145</v>
      </c>
      <c r="C89" s="39" t="s">
        <v>187</v>
      </c>
      <c r="D89" s="40" t="s">
        <v>194</v>
      </c>
      <c r="E89" s="40" t="s">
        <v>195</v>
      </c>
      <c r="F89" s="40" t="s">
        <v>196</v>
      </c>
      <c r="G89" s="45" t="n">
        <v>1</v>
      </c>
      <c r="H89" s="39" t="s">
        <v>191</v>
      </c>
      <c r="I89" s="42"/>
      <c r="J89" s="43" t="str">
        <f aca="false">IF(OR(I89="",G89=""),"",G89*I89)</f>
        <v/>
      </c>
      <c r="K89" s="44" t="str">
        <f aca="false">IF(J89="","",J89/'Start Here'!$C$6)</f>
        <v/>
      </c>
      <c r="L89" s="45"/>
      <c r="M89" s="45" t="s">
        <v>66</v>
      </c>
      <c r="N89" s="40" t="s">
        <v>197</v>
      </c>
      <c r="O89" s="46" t="str">
        <f aca="false">IF(B89="","",IF(B89='By Room'!$C$4,COUNTIF($B$5:B89,'By Room'!$C$4),""))</f>
        <v/>
      </c>
    </row>
    <row r="90" customFormat="false" ht="35.05" hidden="false" customHeight="false" outlineLevel="0" collapsed="false">
      <c r="A90" s="39" t="s">
        <v>280</v>
      </c>
      <c r="B90" s="39" t="s">
        <v>145</v>
      </c>
      <c r="C90" s="39" t="s">
        <v>187</v>
      </c>
      <c r="D90" s="40" t="s">
        <v>199</v>
      </c>
      <c r="E90" s="40" t="s">
        <v>200</v>
      </c>
      <c r="F90" s="40" t="s">
        <v>201</v>
      </c>
      <c r="G90" s="45" t="n">
        <v>1</v>
      </c>
      <c r="H90" s="39" t="s">
        <v>191</v>
      </c>
      <c r="I90" s="42"/>
      <c r="J90" s="43" t="str">
        <f aca="false">IF(OR(I90="",G90=""),"",G90*I90)</f>
        <v/>
      </c>
      <c r="K90" s="44" t="str">
        <f aca="false">IF(J90="","",J90/'Start Here'!$C$6)</f>
        <v/>
      </c>
      <c r="L90" s="45"/>
      <c r="M90" s="45" t="s">
        <v>66</v>
      </c>
      <c r="N90" s="40"/>
      <c r="O90" s="46" t="str">
        <f aca="false">IF(B90="","",IF(B90='By Room'!$C$4,COUNTIF($B$5:B90,'By Room'!$C$4),""))</f>
        <v/>
      </c>
    </row>
    <row r="91" customFormat="false" ht="23.85" hidden="false" customHeight="false" outlineLevel="0" collapsed="false">
      <c r="A91" s="39" t="s">
        <v>281</v>
      </c>
      <c r="B91" s="39" t="s">
        <v>145</v>
      </c>
      <c r="C91" s="39" t="s">
        <v>187</v>
      </c>
      <c r="D91" s="40" t="s">
        <v>203</v>
      </c>
      <c r="E91" s="40" t="s">
        <v>204</v>
      </c>
      <c r="F91" s="40" t="s">
        <v>205</v>
      </c>
      <c r="G91" s="45" t="n">
        <v>1</v>
      </c>
      <c r="H91" s="39" t="s">
        <v>117</v>
      </c>
      <c r="I91" s="42"/>
      <c r="J91" s="43" t="str">
        <f aca="false">IF(OR(I91="",G91=""),"",G91*I91)</f>
        <v/>
      </c>
      <c r="K91" s="44" t="str">
        <f aca="false">IF(J91="","",J91/'Start Here'!$C$6)</f>
        <v/>
      </c>
      <c r="L91" s="45"/>
      <c r="M91" s="45" t="s">
        <v>66</v>
      </c>
      <c r="N91" s="40"/>
      <c r="O91" s="46" t="str">
        <f aca="false">IF(B91="","",IF(B91='By Room'!$C$4,COUNTIF($B$5:B91,'By Room'!$C$4),""))</f>
        <v/>
      </c>
    </row>
    <row r="92" customFormat="false" ht="23.85" hidden="false" customHeight="false" outlineLevel="0" collapsed="false">
      <c r="A92" s="39" t="s">
        <v>282</v>
      </c>
      <c r="B92" s="39" t="s">
        <v>145</v>
      </c>
      <c r="C92" s="39" t="s">
        <v>187</v>
      </c>
      <c r="D92" s="40" t="s">
        <v>207</v>
      </c>
      <c r="E92" s="40" t="s">
        <v>208</v>
      </c>
      <c r="F92" s="40" t="s">
        <v>209</v>
      </c>
      <c r="G92" s="45" t="n">
        <v>1</v>
      </c>
      <c r="H92" s="39" t="s">
        <v>191</v>
      </c>
      <c r="I92" s="42"/>
      <c r="J92" s="43" t="str">
        <f aca="false">IF(OR(I92="",G92=""),"",G92*I92)</f>
        <v/>
      </c>
      <c r="K92" s="44" t="str">
        <f aca="false">IF(J92="","",J92/'Start Here'!$C$6)</f>
        <v/>
      </c>
      <c r="L92" s="45"/>
      <c r="M92" s="45" t="s">
        <v>66</v>
      </c>
      <c r="N92" s="40" t="s">
        <v>210</v>
      </c>
      <c r="O92" s="46" t="str">
        <f aca="false">IF(B92="","",IF(B92='By Room'!$C$4,COUNTIF($B$5:B92,'By Room'!$C$4),""))</f>
        <v/>
      </c>
    </row>
    <row r="93" customFormat="false" ht="15" hidden="false" customHeight="false" outlineLevel="0" collapsed="false">
      <c r="A93" s="39" t="s">
        <v>283</v>
      </c>
      <c r="B93" s="39" t="s">
        <v>145</v>
      </c>
      <c r="C93" s="39" t="s">
        <v>187</v>
      </c>
      <c r="D93" s="40" t="s">
        <v>212</v>
      </c>
      <c r="E93" s="40" t="s">
        <v>213</v>
      </c>
      <c r="F93" s="40" t="s">
        <v>214</v>
      </c>
      <c r="G93" s="45" t="n">
        <v>1</v>
      </c>
      <c r="H93" s="39" t="s">
        <v>191</v>
      </c>
      <c r="I93" s="42"/>
      <c r="J93" s="43" t="str">
        <f aca="false">IF(OR(I93="",G93=""),"",G93*I93)</f>
        <v/>
      </c>
      <c r="K93" s="44" t="str">
        <f aca="false">IF(J93="","",J93/'Start Here'!$C$6)</f>
        <v/>
      </c>
      <c r="L93" s="45"/>
      <c r="M93" s="45" t="s">
        <v>66</v>
      </c>
      <c r="N93" s="40" t="s">
        <v>215</v>
      </c>
      <c r="O93" s="46" t="str">
        <f aca="false">IF(B93="","",IF(B93='By Room'!$C$4,COUNTIF($B$5:B93,'By Room'!$C$4),""))</f>
        <v/>
      </c>
    </row>
    <row r="94" customFormat="false" ht="15" hidden="false" customHeight="false" outlineLevel="0" collapsed="false">
      <c r="A94" s="39" t="s">
        <v>284</v>
      </c>
      <c r="B94" s="39" t="s">
        <v>145</v>
      </c>
      <c r="C94" s="39" t="s">
        <v>187</v>
      </c>
      <c r="D94" s="40" t="s">
        <v>217</v>
      </c>
      <c r="E94" s="40" t="s">
        <v>218</v>
      </c>
      <c r="F94" s="40" t="s">
        <v>219</v>
      </c>
      <c r="G94" s="45" t="n">
        <v>1</v>
      </c>
      <c r="H94" s="39" t="s">
        <v>191</v>
      </c>
      <c r="I94" s="42"/>
      <c r="J94" s="43" t="str">
        <f aca="false">IF(OR(I94="",G94=""),"",G94*I94)</f>
        <v/>
      </c>
      <c r="K94" s="44" t="str">
        <f aca="false">IF(J94="","",J94/'Start Here'!$C$6)</f>
        <v/>
      </c>
      <c r="L94" s="45"/>
      <c r="M94" s="45" t="s">
        <v>66</v>
      </c>
      <c r="N94" s="40"/>
      <c r="O94" s="46" t="str">
        <f aca="false">IF(B94="","",IF(B94='By Room'!$C$4,COUNTIF($B$5:B94,'By Room'!$C$4),""))</f>
        <v/>
      </c>
    </row>
    <row r="95" customFormat="false" ht="23.85" hidden="false" customHeight="false" outlineLevel="0" collapsed="false">
      <c r="A95" s="39" t="s">
        <v>285</v>
      </c>
      <c r="B95" s="39" t="s">
        <v>145</v>
      </c>
      <c r="C95" s="39" t="s">
        <v>187</v>
      </c>
      <c r="D95" s="40" t="s">
        <v>221</v>
      </c>
      <c r="E95" s="40" t="s">
        <v>222</v>
      </c>
      <c r="F95" s="40" t="s">
        <v>223</v>
      </c>
      <c r="G95" s="45" t="n">
        <v>1</v>
      </c>
      <c r="H95" s="39" t="s">
        <v>117</v>
      </c>
      <c r="I95" s="42"/>
      <c r="J95" s="43" t="str">
        <f aca="false">IF(OR(I95="",G95=""),"",G95*I95)</f>
        <v/>
      </c>
      <c r="K95" s="44" t="str">
        <f aca="false">IF(J95="","",J95/'Start Here'!$C$6)</f>
        <v/>
      </c>
      <c r="L95" s="45"/>
      <c r="M95" s="45" t="s">
        <v>66</v>
      </c>
      <c r="N95" s="40" t="s">
        <v>224</v>
      </c>
      <c r="O95" s="46" t="str">
        <f aca="false">IF(B95="","",IF(B95='By Room'!$C$4,COUNTIF($B$5:B95,'By Room'!$C$4),""))</f>
        <v/>
      </c>
    </row>
    <row r="96" customFormat="false" ht="23.85" hidden="false" customHeight="false" outlineLevel="0" collapsed="false">
      <c r="A96" s="39" t="s">
        <v>286</v>
      </c>
      <c r="B96" s="39" t="s">
        <v>145</v>
      </c>
      <c r="C96" s="39" t="s">
        <v>187</v>
      </c>
      <c r="D96" s="40" t="s">
        <v>226</v>
      </c>
      <c r="E96" s="40" t="s">
        <v>204</v>
      </c>
      <c r="F96" s="40" t="s">
        <v>227</v>
      </c>
      <c r="G96" s="45" t="n">
        <v>1</v>
      </c>
      <c r="H96" s="39" t="s">
        <v>191</v>
      </c>
      <c r="I96" s="42"/>
      <c r="J96" s="43" t="str">
        <f aca="false">IF(OR(I96="",G96=""),"",G96*I96)</f>
        <v/>
      </c>
      <c r="K96" s="44" t="str">
        <f aca="false">IF(J96="","",J96/'Start Here'!$C$6)</f>
        <v/>
      </c>
      <c r="L96" s="45"/>
      <c r="M96" s="45" t="s">
        <v>66</v>
      </c>
      <c r="N96" s="40"/>
      <c r="O96" s="46" t="str">
        <f aca="false">IF(B96="","",IF(B96='By Room'!$C$4,COUNTIF($B$5:B96,'By Room'!$C$4),""))</f>
        <v/>
      </c>
    </row>
    <row r="97" customFormat="false" ht="15" hidden="false" customHeight="false" outlineLevel="0" collapsed="false">
      <c r="A97" s="39" t="s">
        <v>287</v>
      </c>
      <c r="B97" s="39" t="s">
        <v>145</v>
      </c>
      <c r="C97" s="39" t="s">
        <v>187</v>
      </c>
      <c r="D97" s="40" t="s">
        <v>229</v>
      </c>
      <c r="E97" s="40" t="s">
        <v>230</v>
      </c>
      <c r="F97" s="40" t="s">
        <v>231</v>
      </c>
      <c r="G97" s="45" t="n">
        <v>1</v>
      </c>
      <c r="H97" s="39" t="s">
        <v>117</v>
      </c>
      <c r="I97" s="42"/>
      <c r="J97" s="43" t="str">
        <f aca="false">IF(OR(I97="",G97=""),"",G97*I97)</f>
        <v/>
      </c>
      <c r="K97" s="44" t="str">
        <f aca="false">IF(J97="","",J97/'Start Here'!$C$6)</f>
        <v/>
      </c>
      <c r="L97" s="45"/>
      <c r="M97" s="45" t="s">
        <v>66</v>
      </c>
      <c r="N97" s="40"/>
      <c r="O97" s="46" t="str">
        <f aca="false">IF(B97="","",IF(B97='By Room'!$C$4,COUNTIF($B$5:B97,'By Room'!$C$4),""))</f>
        <v/>
      </c>
    </row>
    <row r="98" customFormat="false" ht="15" hidden="false" customHeight="false" outlineLevel="0" collapsed="false">
      <c r="A98" s="39" t="s">
        <v>288</v>
      </c>
      <c r="B98" s="39" t="s">
        <v>145</v>
      </c>
      <c r="C98" s="39" t="s">
        <v>187</v>
      </c>
      <c r="D98" s="40" t="s">
        <v>233</v>
      </c>
      <c r="E98" s="40" t="s">
        <v>234</v>
      </c>
      <c r="F98" s="40" t="s">
        <v>235</v>
      </c>
      <c r="G98" s="45" t="n">
        <v>1</v>
      </c>
      <c r="H98" s="39" t="s">
        <v>191</v>
      </c>
      <c r="I98" s="42"/>
      <c r="J98" s="43" t="str">
        <f aca="false">IF(OR(I98="",G98=""),"",G98*I98)</f>
        <v/>
      </c>
      <c r="K98" s="44" t="str">
        <f aca="false">IF(J98="","",J98/'Start Here'!$C$6)</f>
        <v/>
      </c>
      <c r="L98" s="45"/>
      <c r="M98" s="45" t="s">
        <v>66</v>
      </c>
      <c r="N98" s="40"/>
      <c r="O98" s="46" t="str">
        <f aca="false">IF(B98="","",IF(B98='By Room'!$C$4,COUNTIF($B$5:B98,'By Room'!$C$4),""))</f>
        <v/>
      </c>
    </row>
    <row r="99" customFormat="false" ht="23.85" hidden="false" customHeight="false" outlineLevel="0" collapsed="false">
      <c r="A99" s="39" t="s">
        <v>289</v>
      </c>
      <c r="B99" s="39" t="s">
        <v>150</v>
      </c>
      <c r="C99" s="39" t="s">
        <v>187</v>
      </c>
      <c r="D99" s="40" t="s">
        <v>194</v>
      </c>
      <c r="E99" s="40" t="s">
        <v>195</v>
      </c>
      <c r="F99" s="40" t="s">
        <v>196</v>
      </c>
      <c r="G99" s="45" t="n">
        <v>1</v>
      </c>
      <c r="H99" s="39" t="s">
        <v>191</v>
      </c>
      <c r="I99" s="42"/>
      <c r="J99" s="43" t="str">
        <f aca="false">IF(OR(I99="",G99=""),"",G99*I99)</f>
        <v/>
      </c>
      <c r="K99" s="44" t="str">
        <f aca="false">IF(J99="","",J99/'Start Here'!$C$6)</f>
        <v/>
      </c>
      <c r="L99" s="45"/>
      <c r="M99" s="45" t="s">
        <v>66</v>
      </c>
      <c r="N99" s="40" t="s">
        <v>197</v>
      </c>
      <c r="O99" s="46" t="str">
        <f aca="false">IF(B99="","",IF(B99='By Room'!$C$4,COUNTIF($B$5:B99,'By Room'!$C$4),""))</f>
        <v/>
      </c>
    </row>
    <row r="100" customFormat="false" ht="35.05" hidden="false" customHeight="false" outlineLevel="0" collapsed="false">
      <c r="A100" s="39" t="s">
        <v>290</v>
      </c>
      <c r="B100" s="39" t="s">
        <v>150</v>
      </c>
      <c r="C100" s="39" t="s">
        <v>187</v>
      </c>
      <c r="D100" s="40" t="s">
        <v>199</v>
      </c>
      <c r="E100" s="40" t="s">
        <v>200</v>
      </c>
      <c r="F100" s="40" t="s">
        <v>201</v>
      </c>
      <c r="G100" s="45" t="n">
        <v>1</v>
      </c>
      <c r="H100" s="39" t="s">
        <v>191</v>
      </c>
      <c r="I100" s="42"/>
      <c r="J100" s="43" t="str">
        <f aca="false">IF(OR(I100="",G100=""),"",G100*I100)</f>
        <v/>
      </c>
      <c r="K100" s="44" t="str">
        <f aca="false">IF(J100="","",J100/'Start Here'!$C$6)</f>
        <v/>
      </c>
      <c r="L100" s="45"/>
      <c r="M100" s="45" t="s">
        <v>66</v>
      </c>
      <c r="N100" s="40"/>
      <c r="O100" s="46" t="str">
        <f aca="false">IF(B100="","",IF(B100='By Room'!$C$4,COUNTIF($B$5:B100,'By Room'!$C$4),""))</f>
        <v/>
      </c>
    </row>
    <row r="101" customFormat="false" ht="23.85" hidden="false" customHeight="false" outlineLevel="0" collapsed="false">
      <c r="A101" s="39" t="s">
        <v>291</v>
      </c>
      <c r="B101" s="39" t="s">
        <v>150</v>
      </c>
      <c r="C101" s="39" t="s">
        <v>187</v>
      </c>
      <c r="D101" s="40" t="s">
        <v>203</v>
      </c>
      <c r="E101" s="40" t="s">
        <v>204</v>
      </c>
      <c r="F101" s="40" t="s">
        <v>205</v>
      </c>
      <c r="G101" s="45" t="n">
        <v>1</v>
      </c>
      <c r="H101" s="39" t="s">
        <v>117</v>
      </c>
      <c r="I101" s="42"/>
      <c r="J101" s="43" t="str">
        <f aca="false">IF(OR(I101="",G101=""),"",G101*I101)</f>
        <v/>
      </c>
      <c r="K101" s="44" t="str">
        <f aca="false">IF(J101="","",J101/'Start Here'!$C$6)</f>
        <v/>
      </c>
      <c r="L101" s="45"/>
      <c r="M101" s="45" t="s">
        <v>66</v>
      </c>
      <c r="N101" s="40"/>
      <c r="O101" s="46" t="str">
        <f aca="false">IF(B101="","",IF(B101='By Room'!$C$4,COUNTIF($B$5:B101,'By Room'!$C$4),""))</f>
        <v/>
      </c>
    </row>
    <row r="102" customFormat="false" ht="23.85" hidden="false" customHeight="false" outlineLevel="0" collapsed="false">
      <c r="A102" s="39" t="s">
        <v>292</v>
      </c>
      <c r="B102" s="39" t="s">
        <v>150</v>
      </c>
      <c r="C102" s="39" t="s">
        <v>187</v>
      </c>
      <c r="D102" s="40" t="s">
        <v>207</v>
      </c>
      <c r="E102" s="40" t="s">
        <v>208</v>
      </c>
      <c r="F102" s="40" t="s">
        <v>209</v>
      </c>
      <c r="G102" s="45" t="n">
        <v>1</v>
      </c>
      <c r="H102" s="39" t="s">
        <v>191</v>
      </c>
      <c r="I102" s="42"/>
      <c r="J102" s="43" t="str">
        <f aca="false">IF(OR(I102="",G102=""),"",G102*I102)</f>
        <v/>
      </c>
      <c r="K102" s="44" t="str">
        <f aca="false">IF(J102="","",J102/'Start Here'!$C$6)</f>
        <v/>
      </c>
      <c r="L102" s="45"/>
      <c r="M102" s="45" t="s">
        <v>66</v>
      </c>
      <c r="N102" s="40" t="s">
        <v>210</v>
      </c>
      <c r="O102" s="46" t="str">
        <f aca="false">IF(B102="","",IF(B102='By Room'!$C$4,COUNTIF($B$5:B102,'By Room'!$C$4),""))</f>
        <v/>
      </c>
    </row>
    <row r="103" customFormat="false" ht="15" hidden="false" customHeight="false" outlineLevel="0" collapsed="false">
      <c r="A103" s="39" t="s">
        <v>293</v>
      </c>
      <c r="B103" s="39" t="s">
        <v>150</v>
      </c>
      <c r="C103" s="39" t="s">
        <v>187</v>
      </c>
      <c r="D103" s="40" t="s">
        <v>212</v>
      </c>
      <c r="E103" s="40" t="s">
        <v>213</v>
      </c>
      <c r="F103" s="40" t="s">
        <v>214</v>
      </c>
      <c r="G103" s="45" t="n">
        <v>1</v>
      </c>
      <c r="H103" s="39" t="s">
        <v>191</v>
      </c>
      <c r="I103" s="42"/>
      <c r="J103" s="43" t="str">
        <f aca="false">IF(OR(I103="",G103=""),"",G103*I103)</f>
        <v/>
      </c>
      <c r="K103" s="44" t="str">
        <f aca="false">IF(J103="","",J103/'Start Here'!$C$6)</f>
        <v/>
      </c>
      <c r="L103" s="45"/>
      <c r="M103" s="45" t="s">
        <v>66</v>
      </c>
      <c r="N103" s="40" t="s">
        <v>215</v>
      </c>
      <c r="O103" s="46" t="str">
        <f aca="false">IF(B103="","",IF(B103='By Room'!$C$4,COUNTIF($B$5:B103,'By Room'!$C$4),""))</f>
        <v/>
      </c>
    </row>
    <row r="104" customFormat="false" ht="15" hidden="false" customHeight="false" outlineLevel="0" collapsed="false">
      <c r="A104" s="39" t="s">
        <v>294</v>
      </c>
      <c r="B104" s="39" t="s">
        <v>150</v>
      </c>
      <c r="C104" s="39" t="s">
        <v>187</v>
      </c>
      <c r="D104" s="40" t="s">
        <v>217</v>
      </c>
      <c r="E104" s="40" t="s">
        <v>218</v>
      </c>
      <c r="F104" s="40" t="s">
        <v>219</v>
      </c>
      <c r="G104" s="45" t="n">
        <v>1</v>
      </c>
      <c r="H104" s="39" t="s">
        <v>191</v>
      </c>
      <c r="I104" s="42"/>
      <c r="J104" s="43" t="str">
        <f aca="false">IF(OR(I104="",G104=""),"",G104*I104)</f>
        <v/>
      </c>
      <c r="K104" s="44" t="str">
        <f aca="false">IF(J104="","",J104/'Start Here'!$C$6)</f>
        <v/>
      </c>
      <c r="L104" s="45"/>
      <c r="M104" s="45" t="s">
        <v>66</v>
      </c>
      <c r="N104" s="40"/>
      <c r="O104" s="46" t="str">
        <f aca="false">IF(B104="","",IF(B104='By Room'!$C$4,COUNTIF($B$5:B104,'By Room'!$C$4),""))</f>
        <v/>
      </c>
    </row>
    <row r="105" customFormat="false" ht="23.85" hidden="false" customHeight="false" outlineLevel="0" collapsed="false">
      <c r="A105" s="39" t="s">
        <v>295</v>
      </c>
      <c r="B105" s="39" t="s">
        <v>150</v>
      </c>
      <c r="C105" s="39" t="s">
        <v>187</v>
      </c>
      <c r="D105" s="40" t="s">
        <v>221</v>
      </c>
      <c r="E105" s="40" t="s">
        <v>222</v>
      </c>
      <c r="F105" s="40" t="s">
        <v>223</v>
      </c>
      <c r="G105" s="45" t="n">
        <v>1</v>
      </c>
      <c r="H105" s="39" t="s">
        <v>117</v>
      </c>
      <c r="I105" s="42"/>
      <c r="J105" s="43" t="str">
        <f aca="false">IF(OR(I105="",G105=""),"",G105*I105)</f>
        <v/>
      </c>
      <c r="K105" s="44" t="str">
        <f aca="false">IF(J105="","",J105/'Start Here'!$C$6)</f>
        <v/>
      </c>
      <c r="L105" s="45"/>
      <c r="M105" s="45" t="s">
        <v>66</v>
      </c>
      <c r="N105" s="40" t="s">
        <v>224</v>
      </c>
      <c r="O105" s="46" t="str">
        <f aca="false">IF(B105="","",IF(B105='By Room'!$C$4,COUNTIF($B$5:B105,'By Room'!$C$4),""))</f>
        <v/>
      </c>
    </row>
    <row r="106" customFormat="false" ht="23.85" hidden="false" customHeight="false" outlineLevel="0" collapsed="false">
      <c r="A106" s="39" t="s">
        <v>296</v>
      </c>
      <c r="B106" s="39" t="s">
        <v>150</v>
      </c>
      <c r="C106" s="39" t="s">
        <v>187</v>
      </c>
      <c r="D106" s="40" t="s">
        <v>226</v>
      </c>
      <c r="E106" s="40" t="s">
        <v>204</v>
      </c>
      <c r="F106" s="40" t="s">
        <v>227</v>
      </c>
      <c r="G106" s="45" t="n">
        <v>1</v>
      </c>
      <c r="H106" s="39" t="s">
        <v>191</v>
      </c>
      <c r="I106" s="42"/>
      <c r="J106" s="43" t="str">
        <f aca="false">IF(OR(I106="",G106=""),"",G106*I106)</f>
        <v/>
      </c>
      <c r="K106" s="44" t="str">
        <f aca="false">IF(J106="","",J106/'Start Here'!$C$6)</f>
        <v/>
      </c>
      <c r="L106" s="45"/>
      <c r="M106" s="45" t="s">
        <v>66</v>
      </c>
      <c r="N106" s="40"/>
      <c r="O106" s="46" t="str">
        <f aca="false">IF(B106="","",IF(B106='By Room'!$C$4,COUNTIF($B$5:B106,'By Room'!$C$4),""))</f>
        <v/>
      </c>
    </row>
    <row r="107" customFormat="false" ht="15" hidden="false" customHeight="false" outlineLevel="0" collapsed="false">
      <c r="A107" s="39" t="s">
        <v>297</v>
      </c>
      <c r="B107" s="39" t="s">
        <v>150</v>
      </c>
      <c r="C107" s="39" t="s">
        <v>187</v>
      </c>
      <c r="D107" s="40" t="s">
        <v>229</v>
      </c>
      <c r="E107" s="40" t="s">
        <v>230</v>
      </c>
      <c r="F107" s="40" t="s">
        <v>231</v>
      </c>
      <c r="G107" s="45" t="n">
        <v>1</v>
      </c>
      <c r="H107" s="39" t="s">
        <v>117</v>
      </c>
      <c r="I107" s="42"/>
      <c r="J107" s="43" t="str">
        <f aca="false">IF(OR(I107="",G107=""),"",G107*I107)</f>
        <v/>
      </c>
      <c r="K107" s="44" t="str">
        <f aca="false">IF(J107="","",J107/'Start Here'!$C$6)</f>
        <v/>
      </c>
      <c r="L107" s="45"/>
      <c r="M107" s="45" t="s">
        <v>66</v>
      </c>
      <c r="N107" s="40"/>
      <c r="O107" s="46" t="str">
        <f aca="false">IF(B107="","",IF(B107='By Room'!$C$4,COUNTIF($B$5:B107,'By Room'!$C$4),""))</f>
        <v/>
      </c>
    </row>
    <row r="108" customFormat="false" ht="15" hidden="false" customHeight="false" outlineLevel="0" collapsed="false">
      <c r="A108" s="39" t="s">
        <v>298</v>
      </c>
      <c r="B108" s="39" t="s">
        <v>150</v>
      </c>
      <c r="C108" s="39" t="s">
        <v>187</v>
      </c>
      <c r="D108" s="40" t="s">
        <v>233</v>
      </c>
      <c r="E108" s="40" t="s">
        <v>234</v>
      </c>
      <c r="F108" s="40" t="s">
        <v>235</v>
      </c>
      <c r="G108" s="45" t="n">
        <v>1</v>
      </c>
      <c r="H108" s="39" t="s">
        <v>191</v>
      </c>
      <c r="I108" s="42"/>
      <c r="J108" s="43" t="str">
        <f aca="false">IF(OR(I108="",G108=""),"",G108*I108)</f>
        <v/>
      </c>
      <c r="K108" s="44" t="str">
        <f aca="false">IF(J108="","",J108/'Start Here'!$C$6)</f>
        <v/>
      </c>
      <c r="L108" s="45"/>
      <c r="M108" s="45" t="s">
        <v>66</v>
      </c>
      <c r="N108" s="40"/>
      <c r="O108" s="46" t="str">
        <f aca="false">IF(B108="","",IF(B108='By Room'!$C$4,COUNTIF($B$5:B108,'By Room'!$C$4),""))</f>
        <v/>
      </c>
    </row>
    <row r="109" customFormat="false" ht="23.85" hidden="false" customHeight="false" outlineLevel="0" collapsed="false">
      <c r="A109" s="39" t="s">
        <v>299</v>
      </c>
      <c r="B109" s="39" t="s">
        <v>169</v>
      </c>
      <c r="C109" s="39" t="s">
        <v>187</v>
      </c>
      <c r="D109" s="40" t="s">
        <v>194</v>
      </c>
      <c r="E109" s="40" t="s">
        <v>195</v>
      </c>
      <c r="F109" s="40" t="s">
        <v>196</v>
      </c>
      <c r="G109" s="45" t="n">
        <v>1</v>
      </c>
      <c r="H109" s="39" t="s">
        <v>191</v>
      </c>
      <c r="I109" s="42"/>
      <c r="J109" s="43" t="str">
        <f aca="false">IF(OR(I109="",G109=""),"",G109*I109)</f>
        <v/>
      </c>
      <c r="K109" s="44" t="str">
        <f aca="false">IF(J109="","",J109/'Start Here'!$C$6)</f>
        <v/>
      </c>
      <c r="L109" s="45"/>
      <c r="M109" s="45" t="s">
        <v>66</v>
      </c>
      <c r="N109" s="40" t="s">
        <v>197</v>
      </c>
      <c r="O109" s="46" t="str">
        <f aca="false">IF(B109="","",IF(B109='By Room'!$C$4,COUNTIF($B$5:B109,'By Room'!$C$4),""))</f>
        <v/>
      </c>
    </row>
    <row r="110" customFormat="false" ht="15" hidden="false" customHeight="false" outlineLevel="0" collapsed="false">
      <c r="A110" s="39" t="s">
        <v>300</v>
      </c>
      <c r="B110" s="39" t="s">
        <v>169</v>
      </c>
      <c r="C110" s="39" t="s">
        <v>187</v>
      </c>
      <c r="D110" s="40" t="s">
        <v>238</v>
      </c>
      <c r="E110" s="40" t="s">
        <v>239</v>
      </c>
      <c r="F110" s="40" t="s">
        <v>240</v>
      </c>
      <c r="G110" s="45" t="n">
        <v>1</v>
      </c>
      <c r="H110" s="39" t="s">
        <v>191</v>
      </c>
      <c r="I110" s="42"/>
      <c r="J110" s="43" t="str">
        <f aca="false">IF(OR(I110="",G110=""),"",G110*I110)</f>
        <v/>
      </c>
      <c r="K110" s="44" t="str">
        <f aca="false">IF(J110="","",J110/'Start Here'!$C$6)</f>
        <v/>
      </c>
      <c r="L110" s="45"/>
      <c r="M110" s="45" t="s">
        <v>66</v>
      </c>
      <c r="N110" s="40"/>
      <c r="O110" s="46" t="str">
        <f aca="false">IF(B110="","",IF(B110='By Room'!$C$4,COUNTIF($B$5:B110,'By Room'!$C$4),""))</f>
        <v/>
      </c>
    </row>
    <row r="111" customFormat="false" ht="23.85" hidden="false" customHeight="false" outlineLevel="0" collapsed="false">
      <c r="A111" s="39" t="s">
        <v>301</v>
      </c>
      <c r="B111" s="39" t="s">
        <v>169</v>
      </c>
      <c r="C111" s="39" t="s">
        <v>187</v>
      </c>
      <c r="D111" s="40" t="s">
        <v>203</v>
      </c>
      <c r="E111" s="40" t="s">
        <v>204</v>
      </c>
      <c r="F111" s="40" t="s">
        <v>205</v>
      </c>
      <c r="G111" s="45" t="n">
        <v>1</v>
      </c>
      <c r="H111" s="39" t="s">
        <v>117</v>
      </c>
      <c r="I111" s="42"/>
      <c r="J111" s="43" t="str">
        <f aca="false">IF(OR(I111="",G111=""),"",G111*I111)</f>
        <v/>
      </c>
      <c r="K111" s="44" t="str">
        <f aca="false">IF(J111="","",J111/'Start Here'!$C$6)</f>
        <v/>
      </c>
      <c r="L111" s="45"/>
      <c r="M111" s="45" t="s">
        <v>66</v>
      </c>
      <c r="N111" s="40"/>
      <c r="O111" s="46" t="str">
        <f aca="false">IF(B111="","",IF(B111='By Room'!$C$4,COUNTIF($B$5:B111,'By Room'!$C$4),""))</f>
        <v/>
      </c>
    </row>
    <row r="112" customFormat="false" ht="15" hidden="false" customHeight="false" outlineLevel="0" collapsed="false">
      <c r="A112" s="39" t="s">
        <v>302</v>
      </c>
      <c r="B112" s="39" t="s">
        <v>169</v>
      </c>
      <c r="C112" s="39" t="s">
        <v>187</v>
      </c>
      <c r="D112" s="40" t="s">
        <v>243</v>
      </c>
      <c r="E112" s="40" t="s">
        <v>244</v>
      </c>
      <c r="F112" s="40" t="s">
        <v>245</v>
      </c>
      <c r="G112" s="45" t="n">
        <v>1</v>
      </c>
      <c r="H112" s="39" t="s">
        <v>117</v>
      </c>
      <c r="I112" s="42"/>
      <c r="J112" s="43" t="str">
        <f aca="false">IF(OR(I112="",G112=""),"",G112*I112)</f>
        <v/>
      </c>
      <c r="K112" s="44" t="str">
        <f aca="false">IF(J112="","",J112/'Start Here'!$C$6)</f>
        <v/>
      </c>
      <c r="L112" s="45"/>
      <c r="M112" s="45" t="s">
        <v>66</v>
      </c>
      <c r="N112" s="40"/>
      <c r="O112" s="46" t="str">
        <f aca="false">IF(B112="","",IF(B112='By Room'!$C$4,COUNTIF($B$5:B112,'By Room'!$C$4),""))</f>
        <v/>
      </c>
    </row>
    <row r="113" customFormat="false" ht="23.85" hidden="false" customHeight="false" outlineLevel="0" collapsed="false">
      <c r="A113" s="39" t="s">
        <v>303</v>
      </c>
      <c r="B113" s="39" t="s">
        <v>169</v>
      </c>
      <c r="C113" s="39" t="s">
        <v>187</v>
      </c>
      <c r="D113" s="40" t="s">
        <v>226</v>
      </c>
      <c r="E113" s="40" t="s">
        <v>204</v>
      </c>
      <c r="F113" s="40" t="s">
        <v>227</v>
      </c>
      <c r="G113" s="45" t="n">
        <v>1</v>
      </c>
      <c r="H113" s="39" t="s">
        <v>191</v>
      </c>
      <c r="I113" s="42"/>
      <c r="J113" s="43" t="str">
        <f aca="false">IF(OR(I113="",G113=""),"",G113*I113)</f>
        <v/>
      </c>
      <c r="K113" s="44" t="str">
        <f aca="false">IF(J113="","",J113/'Start Here'!$C$6)</f>
        <v/>
      </c>
      <c r="L113" s="45"/>
      <c r="M113" s="45" t="s">
        <v>66</v>
      </c>
      <c r="N113" s="40"/>
      <c r="O113" s="46" t="str">
        <f aca="false">IF(B113="","",IF(B113='By Room'!$C$4,COUNTIF($B$5:B113,'By Room'!$C$4),""))</f>
        <v/>
      </c>
    </row>
    <row r="114" customFormat="false" ht="15" hidden="false" customHeight="false" outlineLevel="0" collapsed="false">
      <c r="A114" s="39" t="s">
        <v>304</v>
      </c>
      <c r="B114" s="39" t="s">
        <v>169</v>
      </c>
      <c r="C114" s="39" t="s">
        <v>187</v>
      </c>
      <c r="D114" s="40" t="s">
        <v>229</v>
      </c>
      <c r="E114" s="40" t="s">
        <v>230</v>
      </c>
      <c r="F114" s="40" t="s">
        <v>248</v>
      </c>
      <c r="G114" s="45" t="n">
        <v>1</v>
      </c>
      <c r="H114" s="39" t="s">
        <v>117</v>
      </c>
      <c r="I114" s="42"/>
      <c r="J114" s="43" t="str">
        <f aca="false">IF(OR(I114="",G114=""),"",G114*I114)</f>
        <v/>
      </c>
      <c r="K114" s="44" t="str">
        <f aca="false">IF(J114="","",J114/'Start Here'!$C$6)</f>
        <v/>
      </c>
      <c r="L114" s="45"/>
      <c r="M114" s="45" t="s">
        <v>66</v>
      </c>
      <c r="N114" s="40"/>
      <c r="O114" s="46" t="str">
        <f aca="false">IF(B114="","",IF(B114='By Room'!$C$4,COUNTIF($B$5:B114,'By Room'!$C$4),""))</f>
        <v/>
      </c>
    </row>
    <row r="115" customFormat="false" ht="15" hidden="false" customHeight="false" outlineLevel="0" collapsed="false">
      <c r="A115" s="39" t="s">
        <v>305</v>
      </c>
      <c r="B115" s="39" t="s">
        <v>169</v>
      </c>
      <c r="C115" s="39" t="s">
        <v>187</v>
      </c>
      <c r="D115" s="40" t="s">
        <v>233</v>
      </c>
      <c r="E115" s="40" t="s">
        <v>234</v>
      </c>
      <c r="F115" s="40" t="s">
        <v>235</v>
      </c>
      <c r="G115" s="45" t="n">
        <v>1</v>
      </c>
      <c r="H115" s="39" t="s">
        <v>191</v>
      </c>
      <c r="I115" s="42"/>
      <c r="J115" s="43" t="str">
        <f aca="false">IF(OR(I115="",G115=""),"",G115*I115)</f>
        <v/>
      </c>
      <c r="K115" s="44" t="str">
        <f aca="false">IF(J115="","",J115/'Start Here'!$C$6)</f>
        <v/>
      </c>
      <c r="L115" s="45"/>
      <c r="M115" s="45" t="s">
        <v>66</v>
      </c>
      <c r="N115" s="40"/>
      <c r="O115" s="46" t="str">
        <f aca="false">IF(B115="","",IF(B115='By Room'!$C$4,COUNTIF($B$5:B115,'By Room'!$C$4),""))</f>
        <v/>
      </c>
    </row>
    <row r="116" customFormat="false" ht="15" hidden="false" customHeight="false" outlineLevel="0" collapsed="false">
      <c r="A116" s="39" t="s">
        <v>306</v>
      </c>
      <c r="B116" s="39" t="s">
        <v>60</v>
      </c>
      <c r="C116" s="39" t="s">
        <v>307</v>
      </c>
      <c r="D116" s="40" t="s">
        <v>308</v>
      </c>
      <c r="E116" s="40" t="s">
        <v>309</v>
      </c>
      <c r="F116" s="40" t="s">
        <v>310</v>
      </c>
      <c r="G116" s="45" t="n">
        <v>1</v>
      </c>
      <c r="H116" s="39" t="s">
        <v>117</v>
      </c>
      <c r="I116" s="42"/>
      <c r="J116" s="43" t="str">
        <f aca="false">IF(OR(I116="",G116=""),"",G116*I116)</f>
        <v/>
      </c>
      <c r="K116" s="44" t="str">
        <f aca="false">IF(J116="","",J116/'Start Here'!$C$6)</f>
        <v/>
      </c>
      <c r="L116" s="45"/>
      <c r="M116" s="45" t="s">
        <v>66</v>
      </c>
      <c r="N116" s="40"/>
      <c r="O116" s="46" t="str">
        <f aca="false">IF(B116="","",IF(B116='By Room'!$C$4,COUNTIF($B$5:B116,'By Room'!$C$4),""))</f>
        <v/>
      </c>
    </row>
    <row r="117" customFormat="false" ht="15" hidden="false" customHeight="false" outlineLevel="0" collapsed="false">
      <c r="A117" s="39" t="s">
        <v>311</v>
      </c>
      <c r="B117" s="39" t="s">
        <v>71</v>
      </c>
      <c r="C117" s="39" t="s">
        <v>307</v>
      </c>
      <c r="D117" s="40" t="s">
        <v>312</v>
      </c>
      <c r="E117" s="40" t="s">
        <v>313</v>
      </c>
      <c r="F117" s="40" t="s">
        <v>314</v>
      </c>
      <c r="G117" s="45" t="n">
        <v>1</v>
      </c>
      <c r="H117" s="39" t="s">
        <v>117</v>
      </c>
      <c r="I117" s="42"/>
      <c r="J117" s="43" t="str">
        <f aca="false">IF(OR(I117="",G117=""),"",G117*I117)</f>
        <v/>
      </c>
      <c r="K117" s="44" t="str">
        <f aca="false">IF(J117="","",J117/'Start Here'!$C$6)</f>
        <v/>
      </c>
      <c r="L117" s="45"/>
      <c r="M117" s="45" t="s">
        <v>66</v>
      </c>
      <c r="N117" s="40"/>
      <c r="O117" s="46" t="str">
        <f aca="false">IF(B117="","",IF(B117='By Room'!$C$4,COUNTIF($B$5:B117,'By Room'!$C$4),""))</f>
        <v/>
      </c>
    </row>
    <row r="118" customFormat="false" ht="15" hidden="false" customHeight="false" outlineLevel="0" collapsed="false">
      <c r="A118" s="39" t="s">
        <v>315</v>
      </c>
      <c r="B118" s="39" t="s">
        <v>73</v>
      </c>
      <c r="C118" s="39" t="s">
        <v>307</v>
      </c>
      <c r="D118" s="40" t="s">
        <v>316</v>
      </c>
      <c r="E118" s="40" t="s">
        <v>317</v>
      </c>
      <c r="F118" s="40" t="s">
        <v>314</v>
      </c>
      <c r="G118" s="45" t="n">
        <v>1</v>
      </c>
      <c r="H118" s="39" t="s">
        <v>117</v>
      </c>
      <c r="I118" s="42"/>
      <c r="J118" s="43" t="str">
        <f aca="false">IF(OR(I118="",G118=""),"",G118*I118)</f>
        <v/>
      </c>
      <c r="K118" s="44" t="str">
        <f aca="false">IF(J118="","",J118/'Start Here'!$C$6)</f>
        <v/>
      </c>
      <c r="L118" s="45"/>
      <c r="M118" s="45" t="s">
        <v>66</v>
      </c>
      <c r="N118" s="40"/>
      <c r="O118" s="46" t="str">
        <f aca="false">IF(B118="","",IF(B118='By Room'!$C$4,COUNTIF($B$5:B118,'By Room'!$C$4),""))</f>
        <v/>
      </c>
    </row>
    <row r="119" customFormat="false" ht="15" hidden="false" customHeight="false" outlineLevel="0" collapsed="false">
      <c r="A119" s="39" t="s">
        <v>318</v>
      </c>
      <c r="B119" s="39" t="s">
        <v>75</v>
      </c>
      <c r="C119" s="39" t="s">
        <v>307</v>
      </c>
      <c r="D119" s="40" t="s">
        <v>319</v>
      </c>
      <c r="E119" s="40" t="s">
        <v>320</v>
      </c>
      <c r="F119" s="40" t="s">
        <v>314</v>
      </c>
      <c r="G119" s="45" t="n">
        <v>3</v>
      </c>
      <c r="H119" s="39" t="s">
        <v>117</v>
      </c>
      <c r="I119" s="42"/>
      <c r="J119" s="43" t="str">
        <f aca="false">IF(OR(I119="",G119=""),"",G119*I119)</f>
        <v/>
      </c>
      <c r="K119" s="44" t="str">
        <f aca="false">IF(J119="","",J119/'Start Here'!$C$6)</f>
        <v/>
      </c>
      <c r="L119" s="45"/>
      <c r="M119" s="45" t="s">
        <v>66</v>
      </c>
      <c r="N119" s="40" t="s">
        <v>321</v>
      </c>
      <c r="O119" s="46" t="n">
        <f aca="false">IF(B119="","",IF(B119='By Room'!$C$4,COUNTIF($B$5:B119,'By Room'!$C$4),""))</f>
        <v>3</v>
      </c>
    </row>
    <row r="120" customFormat="false" ht="15" hidden="false" customHeight="false" outlineLevel="0" collapsed="false">
      <c r="A120" s="39" t="s">
        <v>322</v>
      </c>
      <c r="B120" s="39" t="s">
        <v>75</v>
      </c>
      <c r="C120" s="39" t="s">
        <v>307</v>
      </c>
      <c r="D120" s="40" t="s">
        <v>323</v>
      </c>
      <c r="E120" s="40" t="s">
        <v>324</v>
      </c>
      <c r="F120" s="40" t="s">
        <v>325</v>
      </c>
      <c r="G120" s="45" t="n">
        <v>7</v>
      </c>
      <c r="H120" s="39" t="s">
        <v>326</v>
      </c>
      <c r="I120" s="42"/>
      <c r="J120" s="43" t="str">
        <f aca="false">IF(OR(I120="",G120=""),"",G120*I120)</f>
        <v/>
      </c>
      <c r="K120" s="44" t="str">
        <f aca="false">IF(J120="","",J120/'Start Here'!$C$6)</f>
        <v/>
      </c>
      <c r="L120" s="45"/>
      <c r="M120" s="45" t="s">
        <v>66</v>
      </c>
      <c r="N120" s="40"/>
      <c r="O120" s="46" t="n">
        <f aca="false">IF(B120="","",IF(B120='By Room'!$C$4,COUNTIF($B$5:B120,'By Room'!$C$4),""))</f>
        <v>4</v>
      </c>
    </row>
    <row r="121" customFormat="false" ht="15" hidden="false" customHeight="false" outlineLevel="0" collapsed="false">
      <c r="A121" s="39" t="s">
        <v>327</v>
      </c>
      <c r="B121" s="39" t="s">
        <v>131</v>
      </c>
      <c r="C121" s="39" t="s">
        <v>307</v>
      </c>
      <c r="D121" s="40" t="s">
        <v>312</v>
      </c>
      <c r="E121" s="40" t="s">
        <v>317</v>
      </c>
      <c r="F121" s="40" t="s">
        <v>314</v>
      </c>
      <c r="G121" s="45" t="n">
        <v>1</v>
      </c>
      <c r="H121" s="39" t="s">
        <v>117</v>
      </c>
      <c r="I121" s="42"/>
      <c r="J121" s="43" t="str">
        <f aca="false">IF(OR(I121="",G121=""),"",G121*I121)</f>
        <v/>
      </c>
      <c r="K121" s="44" t="str">
        <f aca="false">IF(J121="","",J121/'Start Here'!$C$6)</f>
        <v/>
      </c>
      <c r="L121" s="45"/>
      <c r="M121" s="45" t="s">
        <v>66</v>
      </c>
      <c r="N121" s="40"/>
      <c r="O121" s="46" t="str">
        <f aca="false">IF(B121="","",IF(B121='By Room'!$C$4,COUNTIF($B$5:B121,'By Room'!$C$4),""))</f>
        <v/>
      </c>
    </row>
    <row r="122" customFormat="false" ht="15" hidden="false" customHeight="false" outlineLevel="0" collapsed="false">
      <c r="A122" s="39" t="s">
        <v>328</v>
      </c>
      <c r="B122" s="39" t="s">
        <v>153</v>
      </c>
      <c r="C122" s="39" t="s">
        <v>307</v>
      </c>
      <c r="D122" s="40" t="s">
        <v>312</v>
      </c>
      <c r="E122" s="40" t="s">
        <v>317</v>
      </c>
      <c r="F122" s="40" t="s">
        <v>314</v>
      </c>
      <c r="G122" s="45" t="n">
        <v>1</v>
      </c>
      <c r="H122" s="39" t="s">
        <v>117</v>
      </c>
      <c r="I122" s="42"/>
      <c r="J122" s="43" t="str">
        <f aca="false">IF(OR(I122="",G122=""),"",G122*I122)</f>
        <v/>
      </c>
      <c r="K122" s="44" t="str">
        <f aca="false">IF(J122="","",J122/'Start Here'!$C$6)</f>
        <v/>
      </c>
      <c r="L122" s="45"/>
      <c r="M122" s="45" t="s">
        <v>66</v>
      </c>
      <c r="N122" s="40"/>
      <c r="O122" s="46" t="str">
        <f aca="false">IF(B122="","",IF(B122='By Room'!$C$4,COUNTIF($B$5:B122,'By Room'!$C$4),""))</f>
        <v/>
      </c>
    </row>
    <row r="123" customFormat="false" ht="15" hidden="false" customHeight="false" outlineLevel="0" collapsed="false">
      <c r="A123" s="39" t="s">
        <v>329</v>
      </c>
      <c r="B123" s="39" t="s">
        <v>174</v>
      </c>
      <c r="C123" s="39" t="s">
        <v>307</v>
      </c>
      <c r="D123" s="40" t="s">
        <v>330</v>
      </c>
      <c r="E123" s="40" t="s">
        <v>309</v>
      </c>
      <c r="F123" s="40" t="s">
        <v>310</v>
      </c>
      <c r="G123" s="45" t="n">
        <v>8</v>
      </c>
      <c r="H123" s="39" t="s">
        <v>117</v>
      </c>
      <c r="I123" s="42"/>
      <c r="J123" s="43" t="str">
        <f aca="false">IF(OR(I123="",G123=""),"",G123*I123)</f>
        <v/>
      </c>
      <c r="K123" s="44" t="str">
        <f aca="false">IF(J123="","",J123/'Start Here'!$C$6)</f>
        <v/>
      </c>
      <c r="L123" s="45"/>
      <c r="M123" s="45" t="s">
        <v>66</v>
      </c>
      <c r="N123" s="40" t="s">
        <v>331</v>
      </c>
      <c r="O123" s="46" t="str">
        <f aca="false">IF(B123="","",IF(B123='By Room'!$C$4,COUNTIF($B$5:B123,'By Room'!$C$4),""))</f>
        <v/>
      </c>
    </row>
    <row r="124" customFormat="false" ht="23.85" hidden="false" customHeight="false" outlineLevel="0" collapsed="false">
      <c r="A124" s="39" t="s">
        <v>332</v>
      </c>
      <c r="B124" s="39" t="s">
        <v>180</v>
      </c>
      <c r="C124" s="39" t="s">
        <v>307</v>
      </c>
      <c r="D124" s="40" t="s">
        <v>333</v>
      </c>
      <c r="E124" s="40" t="s">
        <v>334</v>
      </c>
      <c r="F124" s="40" t="s">
        <v>335</v>
      </c>
      <c r="G124" s="45" t="n">
        <v>80</v>
      </c>
      <c r="H124" s="39" t="s">
        <v>117</v>
      </c>
      <c r="I124" s="42"/>
      <c r="J124" s="43" t="str">
        <f aca="false">IF(OR(I124="",G124=""),"",G124*I124)</f>
        <v/>
      </c>
      <c r="K124" s="44" t="str">
        <f aca="false">IF(J124="","",J124/'Start Here'!$C$6)</f>
        <v/>
      </c>
      <c r="L124" s="45"/>
      <c r="M124" s="45" t="s">
        <v>66</v>
      </c>
      <c r="N124" s="40" t="s">
        <v>336</v>
      </c>
      <c r="O124" s="46" t="str">
        <f aca="false">IF(B124="","",IF(B124='By Room'!$C$4,COUNTIF($B$5:B124,'By Room'!$C$4),""))</f>
        <v/>
      </c>
    </row>
    <row r="125" customFormat="false" ht="23.85" hidden="false" customHeight="false" outlineLevel="0" collapsed="false">
      <c r="A125" s="39" t="s">
        <v>337</v>
      </c>
      <c r="B125" s="39" t="s">
        <v>180</v>
      </c>
      <c r="C125" s="39" t="s">
        <v>307</v>
      </c>
      <c r="D125" s="40" t="s">
        <v>338</v>
      </c>
      <c r="E125" s="40" t="s">
        <v>334</v>
      </c>
      <c r="F125" s="40" t="s">
        <v>335</v>
      </c>
      <c r="G125" s="45" t="n">
        <v>22</v>
      </c>
      <c r="H125" s="39" t="s">
        <v>117</v>
      </c>
      <c r="I125" s="42"/>
      <c r="J125" s="43" t="str">
        <f aca="false">IF(OR(I125="",G125=""),"",G125*I125)</f>
        <v/>
      </c>
      <c r="K125" s="44" t="str">
        <f aca="false">IF(J125="","",J125/'Start Here'!$C$6)</f>
        <v/>
      </c>
      <c r="L125" s="45"/>
      <c r="M125" s="45" t="s">
        <v>66</v>
      </c>
      <c r="N125" s="40" t="s">
        <v>339</v>
      </c>
      <c r="O125" s="46" t="str">
        <f aca="false">IF(B125="","",IF(B125='By Room'!$C$4,COUNTIF($B$5:B125,'By Room'!$C$4),""))</f>
        <v/>
      </c>
    </row>
    <row r="126" customFormat="false" ht="23.85" hidden="false" customHeight="false" outlineLevel="0" collapsed="false">
      <c r="A126" s="39" t="s">
        <v>340</v>
      </c>
      <c r="B126" s="39" t="s">
        <v>180</v>
      </c>
      <c r="C126" s="39" t="s">
        <v>307</v>
      </c>
      <c r="D126" s="40" t="s">
        <v>341</v>
      </c>
      <c r="E126" s="40" t="s">
        <v>342</v>
      </c>
      <c r="F126" s="40" t="s">
        <v>343</v>
      </c>
      <c r="G126" s="45" t="n">
        <v>32</v>
      </c>
      <c r="H126" s="39" t="s">
        <v>117</v>
      </c>
      <c r="I126" s="42"/>
      <c r="J126" s="43" t="str">
        <f aca="false">IF(OR(I126="",G126=""),"",G126*I126)</f>
        <v/>
      </c>
      <c r="K126" s="44" t="str">
        <f aca="false">IF(J126="","",J126/'Start Here'!$C$6)</f>
        <v/>
      </c>
      <c r="L126" s="45"/>
      <c r="M126" s="45" t="s">
        <v>66</v>
      </c>
      <c r="N126" s="40" t="s">
        <v>344</v>
      </c>
      <c r="O126" s="46" t="str">
        <f aca="false">IF(B126="","",IF(B126='By Room'!$C$4,COUNTIF($B$5:B126,'By Room'!$C$4),""))</f>
        <v/>
      </c>
    </row>
    <row r="127" customFormat="false" ht="15" hidden="false" customHeight="false" outlineLevel="0" collapsed="false">
      <c r="A127" s="39" t="s">
        <v>345</v>
      </c>
      <c r="B127" s="39" t="s">
        <v>180</v>
      </c>
      <c r="C127" s="39" t="s">
        <v>307</v>
      </c>
      <c r="D127" s="40" t="s">
        <v>346</v>
      </c>
      <c r="E127" s="40" t="s">
        <v>347</v>
      </c>
      <c r="F127" s="40" t="s">
        <v>325</v>
      </c>
      <c r="G127" s="45" t="n">
        <v>40</v>
      </c>
      <c r="H127" s="39" t="s">
        <v>326</v>
      </c>
      <c r="I127" s="42"/>
      <c r="J127" s="43" t="str">
        <f aca="false">IF(OR(I127="",G127=""),"",G127*I127)</f>
        <v/>
      </c>
      <c r="K127" s="44" t="str">
        <f aca="false">IF(J127="","",J127/'Start Here'!$C$6)</f>
        <v/>
      </c>
      <c r="L127" s="45"/>
      <c r="M127" s="45" t="s">
        <v>66</v>
      </c>
      <c r="N127" s="40" t="s">
        <v>348</v>
      </c>
      <c r="O127" s="46" t="str">
        <f aca="false">IF(B127="","",IF(B127='By Room'!$C$4,COUNTIF($B$5:B127,'By Room'!$C$4),""))</f>
        <v/>
      </c>
    </row>
    <row r="128" customFormat="false" ht="15" hidden="false" customHeight="false" outlineLevel="0" collapsed="false">
      <c r="A128" s="39" t="s">
        <v>349</v>
      </c>
      <c r="B128" s="39" t="s">
        <v>180</v>
      </c>
      <c r="C128" s="39" t="s">
        <v>307</v>
      </c>
      <c r="D128" s="40" t="s">
        <v>350</v>
      </c>
      <c r="E128" s="40" t="s">
        <v>351</v>
      </c>
      <c r="F128" s="40" t="s">
        <v>325</v>
      </c>
      <c r="G128" s="45" t="n">
        <v>22</v>
      </c>
      <c r="H128" s="39" t="s">
        <v>117</v>
      </c>
      <c r="I128" s="42"/>
      <c r="J128" s="43" t="str">
        <f aca="false">IF(OR(I128="",G128=""),"",G128*I128)</f>
        <v/>
      </c>
      <c r="K128" s="44" t="str">
        <f aca="false">IF(J128="","",J128/'Start Here'!$C$6)</f>
        <v/>
      </c>
      <c r="L128" s="45"/>
      <c r="M128" s="45" t="s">
        <v>66</v>
      </c>
      <c r="N128" s="40" t="s">
        <v>352</v>
      </c>
      <c r="O128" s="46" t="str">
        <f aca="false">IF(B128="","",IF(B128='By Room'!$C$4,COUNTIF($B$5:B128,'By Room'!$C$4),""))</f>
        <v/>
      </c>
    </row>
    <row r="129" customFormat="false" ht="35.05" hidden="false" customHeight="false" outlineLevel="0" collapsed="false">
      <c r="A129" s="39" t="s">
        <v>353</v>
      </c>
      <c r="B129" s="39" t="s">
        <v>180</v>
      </c>
      <c r="C129" s="39" t="s">
        <v>354</v>
      </c>
      <c r="D129" s="40" t="s">
        <v>355</v>
      </c>
      <c r="E129" s="40" t="s">
        <v>356</v>
      </c>
      <c r="F129" s="40" t="s">
        <v>357</v>
      </c>
      <c r="G129" s="45" t="n">
        <v>4</v>
      </c>
      <c r="H129" s="39" t="s">
        <v>117</v>
      </c>
      <c r="I129" s="42"/>
      <c r="J129" s="43" t="str">
        <f aca="false">IF(OR(I129="",G129=""),"",G129*I129)</f>
        <v/>
      </c>
      <c r="K129" s="44" t="str">
        <f aca="false">IF(J129="","",J129/'Start Here'!$C$6)</f>
        <v/>
      </c>
      <c r="L129" s="45"/>
      <c r="M129" s="45" t="s">
        <v>66</v>
      </c>
      <c r="N129" s="40" t="s">
        <v>358</v>
      </c>
      <c r="O129" s="46" t="str">
        <f aca="false">IF(B129="","",IF(B129='By Room'!$C$4,COUNTIF($B$5:B129,'By Room'!$C$4),""))</f>
        <v/>
      </c>
    </row>
    <row r="130" customFormat="false" ht="35.05" hidden="false" customHeight="false" outlineLevel="0" collapsed="false">
      <c r="A130" s="39" t="s">
        <v>359</v>
      </c>
      <c r="B130" s="39" t="s">
        <v>180</v>
      </c>
      <c r="C130" s="39" t="s">
        <v>354</v>
      </c>
      <c r="D130" s="40" t="s">
        <v>360</v>
      </c>
      <c r="E130" s="40" t="s">
        <v>356</v>
      </c>
      <c r="F130" s="40" t="s">
        <v>357</v>
      </c>
      <c r="G130" s="45" t="n">
        <v>6</v>
      </c>
      <c r="H130" s="39" t="s">
        <v>117</v>
      </c>
      <c r="I130" s="42"/>
      <c r="J130" s="43" t="str">
        <f aca="false">IF(OR(I130="",G130=""),"",G130*I130)</f>
        <v/>
      </c>
      <c r="K130" s="44" t="str">
        <f aca="false">IF(J130="","",J130/'Start Here'!$C$6)</f>
        <v/>
      </c>
      <c r="L130" s="45"/>
      <c r="M130" s="45" t="s">
        <v>66</v>
      </c>
      <c r="N130" s="40" t="s">
        <v>361</v>
      </c>
      <c r="O130" s="46" t="str">
        <f aca="false">IF(B130="","",IF(B130='By Room'!$C$4,COUNTIF($B$5:B130,'By Room'!$C$4),""))</f>
        <v/>
      </c>
    </row>
    <row r="131" customFormat="false" ht="35.05" hidden="false" customHeight="false" outlineLevel="0" collapsed="false">
      <c r="A131" s="39" t="s">
        <v>362</v>
      </c>
      <c r="B131" s="39" t="s">
        <v>180</v>
      </c>
      <c r="C131" s="39" t="s">
        <v>354</v>
      </c>
      <c r="D131" s="40" t="s">
        <v>363</v>
      </c>
      <c r="E131" s="40" t="s">
        <v>356</v>
      </c>
      <c r="F131" s="40" t="s">
        <v>357</v>
      </c>
      <c r="G131" s="45" t="n">
        <v>2</v>
      </c>
      <c r="H131" s="39" t="s">
        <v>117</v>
      </c>
      <c r="I131" s="42"/>
      <c r="J131" s="43" t="str">
        <f aca="false">IF(OR(I131="",G131=""),"",G131*I131)</f>
        <v/>
      </c>
      <c r="K131" s="44" t="str">
        <f aca="false">IF(J131="","",J131/'Start Here'!$C$6)</f>
        <v/>
      </c>
      <c r="L131" s="45"/>
      <c r="M131" s="45" t="s">
        <v>66</v>
      </c>
      <c r="N131" s="40" t="s">
        <v>364</v>
      </c>
      <c r="O131" s="46" t="str">
        <f aca="false">IF(B131="","",IF(B131='By Room'!$C$4,COUNTIF($B$5:B131,'By Room'!$C$4),""))</f>
        <v/>
      </c>
    </row>
    <row r="132" customFormat="false" ht="35.05" hidden="false" customHeight="false" outlineLevel="0" collapsed="false">
      <c r="A132" s="39" t="s">
        <v>365</v>
      </c>
      <c r="B132" s="39" t="s">
        <v>180</v>
      </c>
      <c r="C132" s="39" t="s">
        <v>354</v>
      </c>
      <c r="D132" s="40" t="s">
        <v>366</v>
      </c>
      <c r="E132" s="40" t="s">
        <v>356</v>
      </c>
      <c r="F132" s="40" t="s">
        <v>357</v>
      </c>
      <c r="G132" s="45" t="n">
        <v>1</v>
      </c>
      <c r="H132" s="39" t="s">
        <v>117</v>
      </c>
      <c r="I132" s="42"/>
      <c r="J132" s="43" t="str">
        <f aca="false">IF(OR(I132="",G132=""),"",G132*I132)</f>
        <v/>
      </c>
      <c r="K132" s="44" t="str">
        <f aca="false">IF(J132="","",J132/'Start Here'!$C$6)</f>
        <v/>
      </c>
      <c r="L132" s="45"/>
      <c r="M132" s="45" t="s">
        <v>66</v>
      </c>
      <c r="N132" s="40" t="s">
        <v>367</v>
      </c>
      <c r="O132" s="46" t="str">
        <f aca="false">IF(B132="","",IF(B132='By Room'!$C$4,COUNTIF($B$5:B132,'By Room'!$C$4),""))</f>
        <v/>
      </c>
    </row>
    <row r="133" customFormat="false" ht="35.05" hidden="false" customHeight="false" outlineLevel="0" collapsed="false">
      <c r="A133" s="39" t="s">
        <v>368</v>
      </c>
      <c r="B133" s="39" t="s">
        <v>180</v>
      </c>
      <c r="C133" s="39" t="s">
        <v>354</v>
      </c>
      <c r="D133" s="40" t="s">
        <v>369</v>
      </c>
      <c r="E133" s="40" t="s">
        <v>356</v>
      </c>
      <c r="F133" s="40" t="s">
        <v>357</v>
      </c>
      <c r="G133" s="45" t="n">
        <v>2</v>
      </c>
      <c r="H133" s="39" t="s">
        <v>117</v>
      </c>
      <c r="I133" s="42"/>
      <c r="J133" s="43" t="str">
        <f aca="false">IF(OR(I133="",G133=""),"",G133*I133)</f>
        <v/>
      </c>
      <c r="K133" s="44" t="str">
        <f aca="false">IF(J133="","",J133/'Start Here'!$C$6)</f>
        <v/>
      </c>
      <c r="L133" s="45"/>
      <c r="M133" s="45" t="s">
        <v>66</v>
      </c>
      <c r="N133" s="40" t="s">
        <v>370</v>
      </c>
      <c r="O133" s="46" t="str">
        <f aca="false">IF(B133="","",IF(B133='By Room'!$C$4,COUNTIF($B$5:B133,'By Room'!$C$4),""))</f>
        <v/>
      </c>
    </row>
    <row r="134" customFormat="false" ht="35.05" hidden="false" customHeight="false" outlineLevel="0" collapsed="false">
      <c r="A134" s="39" t="s">
        <v>371</v>
      </c>
      <c r="B134" s="39" t="s">
        <v>180</v>
      </c>
      <c r="C134" s="39" t="s">
        <v>354</v>
      </c>
      <c r="D134" s="40" t="s">
        <v>372</v>
      </c>
      <c r="E134" s="40" t="s">
        <v>356</v>
      </c>
      <c r="F134" s="40" t="s">
        <v>357</v>
      </c>
      <c r="G134" s="45" t="n">
        <v>1</v>
      </c>
      <c r="H134" s="39" t="s">
        <v>117</v>
      </c>
      <c r="I134" s="42"/>
      <c r="J134" s="43" t="str">
        <f aca="false">IF(OR(I134="",G134=""),"",G134*I134)</f>
        <v/>
      </c>
      <c r="K134" s="44" t="str">
        <f aca="false">IF(J134="","",J134/'Start Here'!$C$6)</f>
        <v/>
      </c>
      <c r="L134" s="45"/>
      <c r="M134" s="45" t="s">
        <v>66</v>
      </c>
      <c r="N134" s="40" t="s">
        <v>373</v>
      </c>
      <c r="O134" s="46" t="str">
        <f aca="false">IF(B134="","",IF(B134='By Room'!$C$4,COUNTIF($B$5:B134,'By Room'!$C$4),""))</f>
        <v/>
      </c>
    </row>
    <row r="135" customFormat="false" ht="35.05" hidden="false" customHeight="false" outlineLevel="0" collapsed="false">
      <c r="A135" s="39" t="s">
        <v>374</v>
      </c>
      <c r="B135" s="39" t="s">
        <v>180</v>
      </c>
      <c r="C135" s="39" t="s">
        <v>354</v>
      </c>
      <c r="D135" s="40" t="s">
        <v>375</v>
      </c>
      <c r="E135" s="40" t="s">
        <v>376</v>
      </c>
      <c r="F135" s="40" t="s">
        <v>357</v>
      </c>
      <c r="G135" s="45" t="n">
        <v>6</v>
      </c>
      <c r="H135" s="39" t="s">
        <v>117</v>
      </c>
      <c r="I135" s="42"/>
      <c r="J135" s="43" t="str">
        <f aca="false">IF(OR(I135="",G135=""),"",G135*I135)</f>
        <v/>
      </c>
      <c r="K135" s="44" t="str">
        <f aca="false">IF(J135="","",J135/'Start Here'!$C$6)</f>
        <v/>
      </c>
      <c r="L135" s="45"/>
      <c r="M135" s="45" t="s">
        <v>66</v>
      </c>
      <c r="N135" s="40" t="s">
        <v>377</v>
      </c>
      <c r="O135" s="46" t="str">
        <f aca="false">IF(B135="","",IF(B135='By Room'!$C$4,COUNTIF($B$5:B135,'By Room'!$C$4),""))</f>
        <v/>
      </c>
    </row>
    <row r="136" customFormat="false" ht="23.85" hidden="false" customHeight="false" outlineLevel="0" collapsed="false">
      <c r="A136" s="39" t="s">
        <v>378</v>
      </c>
      <c r="B136" s="39" t="s">
        <v>180</v>
      </c>
      <c r="C136" s="39" t="s">
        <v>379</v>
      </c>
      <c r="D136" s="40" t="s">
        <v>380</v>
      </c>
      <c r="E136" s="40" t="s">
        <v>381</v>
      </c>
      <c r="F136" s="40" t="s">
        <v>382</v>
      </c>
      <c r="G136" s="45" t="n">
        <v>18</v>
      </c>
      <c r="H136" s="39" t="s">
        <v>117</v>
      </c>
      <c r="I136" s="42"/>
      <c r="J136" s="43" t="str">
        <f aca="false">IF(OR(I136="",G136=""),"",G136*I136)</f>
        <v/>
      </c>
      <c r="K136" s="44" t="str">
        <f aca="false">IF(J136="","",J136/'Start Here'!$C$6)</f>
        <v/>
      </c>
      <c r="L136" s="45"/>
      <c r="M136" s="45" t="s">
        <v>66</v>
      </c>
      <c r="N136" s="40" t="s">
        <v>383</v>
      </c>
      <c r="O136" s="46" t="str">
        <f aca="false">IF(B136="","",IF(B136='By Room'!$C$4,COUNTIF($B$5:B136,'By Room'!$C$4),""))</f>
        <v/>
      </c>
    </row>
    <row r="137" customFormat="false" ht="23.85" hidden="false" customHeight="false" outlineLevel="0" collapsed="false">
      <c r="A137" s="39" t="s">
        <v>384</v>
      </c>
      <c r="B137" s="39" t="s">
        <v>180</v>
      </c>
      <c r="C137" s="39" t="s">
        <v>379</v>
      </c>
      <c r="D137" s="40" t="s">
        <v>385</v>
      </c>
      <c r="E137" s="40" t="s">
        <v>381</v>
      </c>
      <c r="F137" s="40" t="s">
        <v>382</v>
      </c>
      <c r="G137" s="45" t="n">
        <v>2</v>
      </c>
      <c r="H137" s="39" t="s">
        <v>117</v>
      </c>
      <c r="I137" s="42"/>
      <c r="J137" s="43" t="str">
        <f aca="false">IF(OR(I137="",G137=""),"",G137*I137)</f>
        <v/>
      </c>
      <c r="K137" s="44" t="str">
        <f aca="false">IF(J137="","",J137/'Start Here'!$C$6)</f>
        <v/>
      </c>
      <c r="L137" s="45"/>
      <c r="M137" s="45" t="s">
        <v>66</v>
      </c>
      <c r="N137" s="40" t="s">
        <v>383</v>
      </c>
      <c r="O137" s="46" t="str">
        <f aca="false">IF(B137="","",IF(B137='By Room'!$C$4,COUNTIF($B$5:B137,'By Room'!$C$4),""))</f>
        <v/>
      </c>
    </row>
    <row r="138" customFormat="false" ht="23.85" hidden="false" customHeight="false" outlineLevel="0" collapsed="false">
      <c r="A138" s="39" t="s">
        <v>386</v>
      </c>
      <c r="B138" s="39" t="s">
        <v>180</v>
      </c>
      <c r="C138" s="39" t="s">
        <v>379</v>
      </c>
      <c r="D138" s="40" t="s">
        <v>387</v>
      </c>
      <c r="E138" s="40" t="s">
        <v>381</v>
      </c>
      <c r="F138" s="40" t="s">
        <v>382</v>
      </c>
      <c r="G138" s="45" t="n">
        <v>9</v>
      </c>
      <c r="H138" s="39" t="s">
        <v>117</v>
      </c>
      <c r="I138" s="42"/>
      <c r="J138" s="43" t="str">
        <f aca="false">IF(OR(I138="",G138=""),"",G138*I138)</f>
        <v/>
      </c>
      <c r="K138" s="44" t="str">
        <f aca="false">IF(J138="","",J138/'Start Here'!$C$6)</f>
        <v/>
      </c>
      <c r="L138" s="45"/>
      <c r="M138" s="45" t="s">
        <v>66</v>
      </c>
      <c r="N138" s="40" t="s">
        <v>383</v>
      </c>
      <c r="O138" s="46" t="str">
        <f aca="false">IF(B138="","",IF(B138='By Room'!$C$4,COUNTIF($B$5:B138,'By Room'!$C$4),""))</f>
        <v/>
      </c>
    </row>
    <row r="139" customFormat="false" ht="23.85" hidden="false" customHeight="false" outlineLevel="0" collapsed="false">
      <c r="A139" s="39" t="s">
        <v>388</v>
      </c>
      <c r="B139" s="39" t="s">
        <v>180</v>
      </c>
      <c r="C139" s="39" t="s">
        <v>379</v>
      </c>
      <c r="D139" s="40" t="s">
        <v>389</v>
      </c>
      <c r="E139" s="40" t="s">
        <v>381</v>
      </c>
      <c r="F139" s="40" t="s">
        <v>382</v>
      </c>
      <c r="G139" s="45" t="n">
        <v>7</v>
      </c>
      <c r="H139" s="39" t="s">
        <v>117</v>
      </c>
      <c r="I139" s="42"/>
      <c r="J139" s="43" t="str">
        <f aca="false">IF(OR(I139="",G139=""),"",G139*I139)</f>
        <v/>
      </c>
      <c r="K139" s="44" t="str">
        <f aca="false">IF(J139="","",J139/'Start Here'!$C$6)</f>
        <v/>
      </c>
      <c r="L139" s="45"/>
      <c r="M139" s="45" t="s">
        <v>66</v>
      </c>
      <c r="N139" s="40" t="s">
        <v>383</v>
      </c>
      <c r="O139" s="46" t="str">
        <f aca="false">IF(B139="","",IF(B139='By Room'!$C$4,COUNTIF($B$5:B139,'By Room'!$C$4),""))</f>
        <v/>
      </c>
    </row>
    <row r="140" customFormat="false" ht="23.85" hidden="false" customHeight="false" outlineLevel="0" collapsed="false">
      <c r="A140" s="39" t="s">
        <v>390</v>
      </c>
      <c r="B140" s="39" t="s">
        <v>180</v>
      </c>
      <c r="C140" s="39" t="s">
        <v>379</v>
      </c>
      <c r="D140" s="40" t="s">
        <v>391</v>
      </c>
      <c r="E140" s="40" t="s">
        <v>381</v>
      </c>
      <c r="F140" s="40" t="s">
        <v>382</v>
      </c>
      <c r="G140" s="45" t="n">
        <v>4</v>
      </c>
      <c r="H140" s="39" t="s">
        <v>117</v>
      </c>
      <c r="I140" s="42"/>
      <c r="J140" s="43" t="str">
        <f aca="false">IF(OR(I140="",G140=""),"",G140*I140)</f>
        <v/>
      </c>
      <c r="K140" s="44" t="str">
        <f aca="false">IF(J140="","",J140/'Start Here'!$C$6)</f>
        <v/>
      </c>
      <c r="L140" s="45"/>
      <c r="M140" s="45" t="s">
        <v>66</v>
      </c>
      <c r="N140" s="40" t="s">
        <v>383</v>
      </c>
      <c r="O140" s="46" t="str">
        <f aca="false">IF(B140="","",IF(B140='By Room'!$C$4,COUNTIF($B$5:B140,'By Room'!$C$4),""))</f>
        <v/>
      </c>
    </row>
    <row r="141" customFormat="false" ht="23.85" hidden="false" customHeight="false" outlineLevel="0" collapsed="false">
      <c r="A141" s="39" t="s">
        <v>392</v>
      </c>
      <c r="B141" s="39" t="s">
        <v>180</v>
      </c>
      <c r="C141" s="39" t="s">
        <v>379</v>
      </c>
      <c r="D141" s="40" t="s">
        <v>393</v>
      </c>
      <c r="E141" s="40" t="s">
        <v>381</v>
      </c>
      <c r="F141" s="40" t="s">
        <v>382</v>
      </c>
      <c r="G141" s="45" t="n">
        <v>5</v>
      </c>
      <c r="H141" s="39" t="s">
        <v>117</v>
      </c>
      <c r="I141" s="42"/>
      <c r="J141" s="43" t="str">
        <f aca="false">IF(OR(I141="",G141=""),"",G141*I141)</f>
        <v/>
      </c>
      <c r="K141" s="44" t="str">
        <f aca="false">IF(J141="","",J141/'Start Here'!$C$6)</f>
        <v/>
      </c>
      <c r="L141" s="45"/>
      <c r="M141" s="45" t="s">
        <v>66</v>
      </c>
      <c r="N141" s="40" t="s">
        <v>383</v>
      </c>
      <c r="O141" s="46" t="str">
        <f aca="false">IF(B141="","",IF(B141='By Room'!$C$4,COUNTIF($B$5:B141,'By Room'!$C$4),""))</f>
        <v/>
      </c>
    </row>
    <row r="142" customFormat="false" ht="23.85" hidden="false" customHeight="false" outlineLevel="0" collapsed="false">
      <c r="A142" s="39" t="s">
        <v>394</v>
      </c>
      <c r="B142" s="39" t="s">
        <v>180</v>
      </c>
      <c r="C142" s="39" t="s">
        <v>379</v>
      </c>
      <c r="D142" s="40" t="s">
        <v>395</v>
      </c>
      <c r="E142" s="40" t="s">
        <v>381</v>
      </c>
      <c r="F142" s="40" t="s">
        <v>382</v>
      </c>
      <c r="G142" s="45" t="n">
        <v>40</v>
      </c>
      <c r="H142" s="39" t="s">
        <v>117</v>
      </c>
      <c r="I142" s="42"/>
      <c r="J142" s="43" t="str">
        <f aca="false">IF(OR(I142="",G142=""),"",G142*I142)</f>
        <v/>
      </c>
      <c r="K142" s="44" t="str">
        <f aca="false">IF(J142="","",J142/'Start Here'!$C$6)</f>
        <v/>
      </c>
      <c r="L142" s="45"/>
      <c r="M142" s="45" t="s">
        <v>66</v>
      </c>
      <c r="N142" s="40" t="s">
        <v>383</v>
      </c>
      <c r="O142" s="46" t="str">
        <f aca="false">IF(B142="","",IF(B142='By Room'!$C$4,COUNTIF($B$5:B142,'By Room'!$C$4),""))</f>
        <v/>
      </c>
    </row>
    <row r="143" customFormat="false" ht="23.85" hidden="false" customHeight="false" outlineLevel="0" collapsed="false">
      <c r="A143" s="39" t="s">
        <v>396</v>
      </c>
      <c r="B143" s="39" t="s">
        <v>180</v>
      </c>
      <c r="C143" s="39" t="s">
        <v>379</v>
      </c>
      <c r="D143" s="40" t="s">
        <v>397</v>
      </c>
      <c r="E143" s="40" t="s">
        <v>381</v>
      </c>
      <c r="F143" s="40" t="s">
        <v>382</v>
      </c>
      <c r="G143" s="45" t="n">
        <v>32</v>
      </c>
      <c r="H143" s="39" t="s">
        <v>117</v>
      </c>
      <c r="I143" s="42"/>
      <c r="J143" s="43" t="str">
        <f aca="false">IF(OR(I143="",G143=""),"",G143*I143)</f>
        <v/>
      </c>
      <c r="K143" s="44" t="str">
        <f aca="false">IF(J143="","",J143/'Start Here'!$C$6)</f>
        <v/>
      </c>
      <c r="L143" s="45"/>
      <c r="M143" s="45" t="s">
        <v>66</v>
      </c>
      <c r="N143" s="40" t="s">
        <v>383</v>
      </c>
      <c r="O143" s="46" t="str">
        <f aca="false">IF(B143="","",IF(B143='By Room'!$C$4,COUNTIF($B$5:B143,'By Room'!$C$4),""))</f>
        <v/>
      </c>
    </row>
    <row r="144" customFormat="false" ht="23.85" hidden="false" customHeight="false" outlineLevel="0" collapsed="false">
      <c r="A144" s="39" t="s">
        <v>398</v>
      </c>
      <c r="B144" s="39" t="s">
        <v>180</v>
      </c>
      <c r="C144" s="39" t="s">
        <v>379</v>
      </c>
      <c r="D144" s="40" t="s">
        <v>399</v>
      </c>
      <c r="E144" s="40" t="s">
        <v>400</v>
      </c>
      <c r="F144" s="40" t="s">
        <v>401</v>
      </c>
      <c r="G144" s="45" t="n">
        <v>13</v>
      </c>
      <c r="H144" s="39" t="s">
        <v>117</v>
      </c>
      <c r="I144" s="42"/>
      <c r="J144" s="43" t="str">
        <f aca="false">IF(OR(I144="",G144=""),"",G144*I144)</f>
        <v/>
      </c>
      <c r="K144" s="44" t="str">
        <f aca="false">IF(J144="","",J144/'Start Here'!$C$6)</f>
        <v/>
      </c>
      <c r="L144" s="45"/>
      <c r="M144" s="45" t="s">
        <v>66</v>
      </c>
      <c r="N144" s="40" t="s">
        <v>383</v>
      </c>
      <c r="O144" s="46" t="str">
        <f aca="false">IF(B144="","",IF(B144='By Room'!$C$4,COUNTIF($B$5:B144,'By Room'!$C$4),""))</f>
        <v/>
      </c>
    </row>
    <row r="145" customFormat="false" ht="23.85" hidden="false" customHeight="false" outlineLevel="0" collapsed="false">
      <c r="A145" s="39" t="s">
        <v>402</v>
      </c>
      <c r="B145" s="39" t="s">
        <v>180</v>
      </c>
      <c r="C145" s="39" t="s">
        <v>379</v>
      </c>
      <c r="D145" s="40" t="s">
        <v>403</v>
      </c>
      <c r="E145" s="40" t="s">
        <v>381</v>
      </c>
      <c r="F145" s="40" t="s">
        <v>382</v>
      </c>
      <c r="G145" s="45" t="n">
        <v>2</v>
      </c>
      <c r="H145" s="39" t="s">
        <v>117</v>
      </c>
      <c r="I145" s="42"/>
      <c r="J145" s="43" t="str">
        <f aca="false">IF(OR(I145="",G145=""),"",G145*I145)</f>
        <v/>
      </c>
      <c r="K145" s="44" t="str">
        <f aca="false">IF(J145="","",J145/'Start Here'!$C$6)</f>
        <v/>
      </c>
      <c r="L145" s="45"/>
      <c r="M145" s="45" t="s">
        <v>66</v>
      </c>
      <c r="N145" s="40" t="s">
        <v>383</v>
      </c>
      <c r="O145" s="46" t="str">
        <f aca="false">IF(B145="","",IF(B145='By Room'!$C$4,COUNTIF($B$5:B145,'By Room'!$C$4),""))</f>
        <v/>
      </c>
    </row>
    <row r="146" customFormat="false" ht="23.85" hidden="false" customHeight="false" outlineLevel="0" collapsed="false">
      <c r="A146" s="39" t="s">
        <v>404</v>
      </c>
      <c r="B146" s="39" t="s">
        <v>180</v>
      </c>
      <c r="C146" s="39" t="s">
        <v>379</v>
      </c>
      <c r="D146" s="40" t="s">
        <v>405</v>
      </c>
      <c r="E146" s="40" t="s">
        <v>381</v>
      </c>
      <c r="F146" s="40" t="s">
        <v>382</v>
      </c>
      <c r="G146" s="45" t="n">
        <v>5</v>
      </c>
      <c r="H146" s="39" t="s">
        <v>117</v>
      </c>
      <c r="I146" s="42"/>
      <c r="J146" s="43" t="str">
        <f aca="false">IF(OR(I146="",G146=""),"",G146*I146)</f>
        <v/>
      </c>
      <c r="K146" s="44" t="str">
        <f aca="false">IF(J146="","",J146/'Start Here'!$C$6)</f>
        <v/>
      </c>
      <c r="L146" s="45"/>
      <c r="M146" s="45" t="s">
        <v>66</v>
      </c>
      <c r="N146" s="40" t="s">
        <v>383</v>
      </c>
      <c r="O146" s="46" t="str">
        <f aca="false">IF(B146="","",IF(B146='By Room'!$C$4,COUNTIF($B$5:B146,'By Room'!$C$4),""))</f>
        <v/>
      </c>
    </row>
    <row r="147" customFormat="false" ht="23.85" hidden="false" customHeight="false" outlineLevel="0" collapsed="false">
      <c r="A147" s="39" t="s">
        <v>406</v>
      </c>
      <c r="B147" s="39" t="s">
        <v>180</v>
      </c>
      <c r="C147" s="39" t="s">
        <v>379</v>
      </c>
      <c r="D147" s="40" t="s">
        <v>407</v>
      </c>
      <c r="E147" s="40" t="s">
        <v>381</v>
      </c>
      <c r="F147" s="40" t="s">
        <v>382</v>
      </c>
      <c r="G147" s="45" t="n">
        <v>2</v>
      </c>
      <c r="H147" s="39" t="s">
        <v>117</v>
      </c>
      <c r="I147" s="42"/>
      <c r="J147" s="43" t="str">
        <f aca="false">IF(OR(I147="",G147=""),"",G147*I147)</f>
        <v/>
      </c>
      <c r="K147" s="44" t="str">
        <f aca="false">IF(J147="","",J147/'Start Here'!$C$6)</f>
        <v/>
      </c>
      <c r="L147" s="45"/>
      <c r="M147" s="45" t="s">
        <v>66</v>
      </c>
      <c r="N147" s="40" t="s">
        <v>383</v>
      </c>
      <c r="O147" s="46" t="str">
        <f aca="false">IF(B147="","",IF(B147='By Room'!$C$4,COUNTIF($B$5:B147,'By Room'!$C$4),""))</f>
        <v/>
      </c>
    </row>
    <row r="148" customFormat="false" ht="23.85" hidden="false" customHeight="false" outlineLevel="0" collapsed="false">
      <c r="A148" s="39" t="s">
        <v>408</v>
      </c>
      <c r="B148" s="39" t="s">
        <v>180</v>
      </c>
      <c r="C148" s="39" t="s">
        <v>379</v>
      </c>
      <c r="D148" s="40" t="s">
        <v>409</v>
      </c>
      <c r="E148" s="40" t="s">
        <v>381</v>
      </c>
      <c r="F148" s="40" t="s">
        <v>382</v>
      </c>
      <c r="G148" s="45" t="n">
        <v>3</v>
      </c>
      <c r="H148" s="39" t="s">
        <v>117</v>
      </c>
      <c r="I148" s="42"/>
      <c r="J148" s="43" t="str">
        <f aca="false">IF(OR(I148="",G148=""),"",G148*I148)</f>
        <v/>
      </c>
      <c r="K148" s="44" t="str">
        <f aca="false">IF(J148="","",J148/'Start Here'!$C$6)</f>
        <v/>
      </c>
      <c r="L148" s="45"/>
      <c r="M148" s="45" t="s">
        <v>66</v>
      </c>
      <c r="N148" s="40" t="s">
        <v>383</v>
      </c>
      <c r="O148" s="46" t="str">
        <f aca="false">IF(B148="","",IF(B148='By Room'!$C$4,COUNTIF($B$5:B148,'By Room'!$C$4),""))</f>
        <v/>
      </c>
    </row>
    <row r="149" customFormat="false" ht="23.85" hidden="false" customHeight="false" outlineLevel="0" collapsed="false">
      <c r="A149" s="39" t="s">
        <v>410</v>
      </c>
      <c r="B149" s="39" t="s">
        <v>180</v>
      </c>
      <c r="C149" s="39" t="s">
        <v>379</v>
      </c>
      <c r="D149" s="40" t="s">
        <v>411</v>
      </c>
      <c r="E149" s="40" t="s">
        <v>381</v>
      </c>
      <c r="F149" s="40" t="s">
        <v>382</v>
      </c>
      <c r="G149" s="45" t="n">
        <v>4</v>
      </c>
      <c r="H149" s="39" t="s">
        <v>117</v>
      </c>
      <c r="I149" s="42"/>
      <c r="J149" s="43" t="str">
        <f aca="false">IF(OR(I149="",G149=""),"",G149*I149)</f>
        <v/>
      </c>
      <c r="K149" s="44" t="str">
        <f aca="false">IF(J149="","",J149/'Start Here'!$C$6)</f>
        <v/>
      </c>
      <c r="L149" s="45"/>
      <c r="M149" s="45" t="s">
        <v>66</v>
      </c>
      <c r="N149" s="40" t="s">
        <v>383</v>
      </c>
      <c r="O149" s="46" t="str">
        <f aca="false">IF(B149="","",IF(B149='By Room'!$C$4,COUNTIF($B$5:B149,'By Room'!$C$4),""))</f>
        <v/>
      </c>
    </row>
    <row r="150" customFormat="false" ht="23.85" hidden="false" customHeight="false" outlineLevel="0" collapsed="false">
      <c r="A150" s="39" t="s">
        <v>412</v>
      </c>
      <c r="B150" s="39" t="s">
        <v>180</v>
      </c>
      <c r="C150" s="39" t="s">
        <v>379</v>
      </c>
      <c r="D150" s="40" t="s">
        <v>413</v>
      </c>
      <c r="E150" s="40" t="s">
        <v>381</v>
      </c>
      <c r="F150" s="40" t="s">
        <v>382</v>
      </c>
      <c r="G150" s="45" t="n">
        <v>10</v>
      </c>
      <c r="H150" s="39" t="s">
        <v>117</v>
      </c>
      <c r="I150" s="42"/>
      <c r="J150" s="43" t="str">
        <f aca="false">IF(OR(I150="",G150=""),"",G150*I150)</f>
        <v/>
      </c>
      <c r="K150" s="44" t="str">
        <f aca="false">IF(J150="","",J150/'Start Here'!$C$6)</f>
        <v/>
      </c>
      <c r="L150" s="45"/>
      <c r="M150" s="45" t="s">
        <v>66</v>
      </c>
      <c r="N150" s="40" t="s">
        <v>383</v>
      </c>
      <c r="O150" s="46" t="str">
        <f aca="false">IF(B150="","",IF(B150='By Room'!$C$4,COUNTIF($B$5:B150,'By Room'!$C$4),""))</f>
        <v/>
      </c>
    </row>
    <row r="151" customFormat="false" ht="23.85" hidden="false" customHeight="false" outlineLevel="0" collapsed="false">
      <c r="A151" s="39" t="s">
        <v>414</v>
      </c>
      <c r="B151" s="39" t="s">
        <v>415</v>
      </c>
      <c r="C151" s="39" t="s">
        <v>416</v>
      </c>
      <c r="D151" s="40" t="s">
        <v>417</v>
      </c>
      <c r="E151" s="40" t="s">
        <v>418</v>
      </c>
      <c r="F151" s="40" t="s">
        <v>419</v>
      </c>
      <c r="G151" s="41" t="n">
        <f aca="false">4*COUNTIF(Doors!$C$7:$C$46,"?*")</f>
        <v>88</v>
      </c>
      <c r="H151" s="39" t="s">
        <v>117</v>
      </c>
      <c r="I151" s="42"/>
      <c r="J151" s="43" t="str">
        <f aca="false">IF(OR(I151="",G151=""),"",G151*I151)</f>
        <v/>
      </c>
      <c r="K151" s="44" t="str">
        <f aca="false">IF(J151="","",J151/'Start Here'!$C$6)</f>
        <v/>
      </c>
      <c r="L151" s="45"/>
      <c r="M151" s="45" t="s">
        <v>66</v>
      </c>
      <c r="N151" s="40" t="s">
        <v>420</v>
      </c>
      <c r="O151" s="46" t="str">
        <f aca="false">IF(B151="","",IF(B151='By Room'!$C$4,COUNTIF($B$5:B151,'By Room'!$C$4),""))</f>
        <v/>
      </c>
    </row>
    <row r="152" customFormat="false" ht="23.85" hidden="false" customHeight="false" outlineLevel="0" collapsed="false">
      <c r="A152" s="39" t="s">
        <v>421</v>
      </c>
      <c r="B152" s="39" t="s">
        <v>415</v>
      </c>
      <c r="C152" s="39" t="s">
        <v>416</v>
      </c>
      <c r="D152" s="40" t="s">
        <v>422</v>
      </c>
      <c r="E152" s="40" t="s">
        <v>423</v>
      </c>
      <c r="F152" s="40" t="s">
        <v>424</v>
      </c>
      <c r="G152" s="41" t="n">
        <f aca="false">COUNTIF(Doors!$C$7:$C$46,"Entrance")</f>
        <v>1</v>
      </c>
      <c r="H152" s="39" t="s">
        <v>191</v>
      </c>
      <c r="I152" s="42"/>
      <c r="J152" s="43" t="str">
        <f aca="false">IF(OR(I152="",G152=""),"",G152*I152)</f>
        <v/>
      </c>
      <c r="K152" s="44" t="str">
        <f aca="false">IF(J152="","",J152/'Start Here'!$C$6)</f>
        <v/>
      </c>
      <c r="L152" s="45"/>
      <c r="M152" s="45" t="s">
        <v>66</v>
      </c>
      <c r="N152" s="40"/>
      <c r="O152" s="46" t="str">
        <f aca="false">IF(B152="","",IF(B152='By Room'!$C$4,COUNTIF($B$5:B152,'By Room'!$C$4),""))</f>
        <v/>
      </c>
    </row>
    <row r="153" customFormat="false" ht="15" hidden="false" customHeight="false" outlineLevel="0" collapsed="false">
      <c r="A153" s="39" t="s">
        <v>425</v>
      </c>
      <c r="B153" s="39" t="s">
        <v>415</v>
      </c>
      <c r="C153" s="39" t="s">
        <v>416</v>
      </c>
      <c r="D153" s="40" t="s">
        <v>426</v>
      </c>
      <c r="E153" s="40" t="s">
        <v>427</v>
      </c>
      <c r="F153" s="40" t="s">
        <v>424</v>
      </c>
      <c r="G153" s="41" t="n">
        <f aca="false">COUNTIF(Doors!$C$7:$C$46,"External")</f>
        <v>2</v>
      </c>
      <c r="H153" s="39" t="s">
        <v>191</v>
      </c>
      <c r="I153" s="42"/>
      <c r="J153" s="43" t="str">
        <f aca="false">IF(OR(I153="",G153=""),"",G153*I153)</f>
        <v/>
      </c>
      <c r="K153" s="44" t="str">
        <f aca="false">IF(J153="","",J153/'Start Here'!$C$6)</f>
        <v/>
      </c>
      <c r="L153" s="45"/>
      <c r="M153" s="45" t="s">
        <v>66</v>
      </c>
      <c r="N153" s="40" t="s">
        <v>428</v>
      </c>
      <c r="O153" s="46" t="str">
        <f aca="false">IF(B153="","",IF(B153='By Room'!$C$4,COUNTIF($B$5:B153,'By Room'!$C$4),""))</f>
        <v/>
      </c>
    </row>
    <row r="154" customFormat="false" ht="23.85" hidden="false" customHeight="false" outlineLevel="0" collapsed="false">
      <c r="A154" s="39" t="s">
        <v>429</v>
      </c>
      <c r="B154" s="39" t="s">
        <v>415</v>
      </c>
      <c r="C154" s="39" t="s">
        <v>416</v>
      </c>
      <c r="D154" s="40" t="s">
        <v>430</v>
      </c>
      <c r="E154" s="40" t="s">
        <v>431</v>
      </c>
      <c r="F154" s="40" t="s">
        <v>424</v>
      </c>
      <c r="G154" s="41" t="n">
        <f aca="false">COUNTIF(Doors!$C$7:$C$46,"Bedroom")</f>
        <v>5</v>
      </c>
      <c r="H154" s="39" t="s">
        <v>191</v>
      </c>
      <c r="I154" s="42"/>
      <c r="J154" s="43" t="str">
        <f aca="false">IF(OR(I154="",G154=""),"",G154*I154)</f>
        <v/>
      </c>
      <c r="K154" s="44" t="str">
        <f aca="false">IF(J154="","",J154/'Start Here'!$C$6)</f>
        <v/>
      </c>
      <c r="L154" s="45"/>
      <c r="M154" s="45" t="s">
        <v>66</v>
      </c>
      <c r="N154" s="40"/>
      <c r="O154" s="46" t="str">
        <f aca="false">IF(B154="","",IF(B154='By Room'!$C$4,COUNTIF($B$5:B154,'By Room'!$C$4),""))</f>
        <v/>
      </c>
    </row>
    <row r="155" customFormat="false" ht="23.85" hidden="false" customHeight="false" outlineLevel="0" collapsed="false">
      <c r="A155" s="39" t="s">
        <v>432</v>
      </c>
      <c r="B155" s="39" t="s">
        <v>415</v>
      </c>
      <c r="C155" s="39" t="s">
        <v>416</v>
      </c>
      <c r="D155" s="40" t="s">
        <v>433</v>
      </c>
      <c r="E155" s="40" t="s">
        <v>431</v>
      </c>
      <c r="F155" s="40" t="s">
        <v>434</v>
      </c>
      <c r="G155" s="41" t="n">
        <f aca="false">COUNTIF(Doors!$C$7:$C$46,"Bathroom")</f>
        <v>7</v>
      </c>
      <c r="H155" s="39" t="s">
        <v>191</v>
      </c>
      <c r="I155" s="42"/>
      <c r="J155" s="43" t="str">
        <f aca="false">IF(OR(I155="",G155=""),"",G155*I155)</f>
        <v/>
      </c>
      <c r="K155" s="44" t="str">
        <f aca="false">IF(J155="","",J155/'Start Here'!$C$6)</f>
        <v/>
      </c>
      <c r="L155" s="45"/>
      <c r="M155" s="45" t="s">
        <v>66</v>
      </c>
      <c r="N155" s="40"/>
      <c r="O155" s="46" t="str">
        <f aca="false">IF(B155="","",IF(B155='By Room'!$C$4,COUNTIF($B$5:B155,'By Room'!$C$4),""))</f>
        <v/>
      </c>
    </row>
    <row r="156" customFormat="false" ht="15" hidden="false" customHeight="false" outlineLevel="0" collapsed="false">
      <c r="A156" s="39" t="s">
        <v>435</v>
      </c>
      <c r="B156" s="39" t="s">
        <v>415</v>
      </c>
      <c r="C156" s="39" t="s">
        <v>416</v>
      </c>
      <c r="D156" s="40" t="s">
        <v>436</v>
      </c>
      <c r="E156" s="40" t="s">
        <v>437</v>
      </c>
      <c r="F156" s="40" t="s">
        <v>424</v>
      </c>
      <c r="G156" s="41" t="n">
        <f aca="false">COUNTIF(Doors!$C$7:$C$46,"Keyed")</f>
        <v>1</v>
      </c>
      <c r="H156" s="39" t="s">
        <v>191</v>
      </c>
      <c r="I156" s="42"/>
      <c r="J156" s="43" t="str">
        <f aca="false">IF(OR(I156="",G156=""),"",G156*I156)</f>
        <v/>
      </c>
      <c r="K156" s="44" t="str">
        <f aca="false">IF(J156="","",J156/'Start Here'!$C$6)</f>
        <v/>
      </c>
      <c r="L156" s="45"/>
      <c r="M156" s="45" t="s">
        <v>66</v>
      </c>
      <c r="N156" s="40" t="s">
        <v>438</v>
      </c>
      <c r="O156" s="46" t="str">
        <f aca="false">IF(B156="","",IF(B156='By Room'!$C$4,COUNTIF($B$5:B156,'By Room'!$C$4),""))</f>
        <v/>
      </c>
    </row>
    <row r="157" customFormat="false" ht="15" hidden="false" customHeight="false" outlineLevel="0" collapsed="false">
      <c r="A157" s="39" t="s">
        <v>439</v>
      </c>
      <c r="B157" s="39" t="s">
        <v>415</v>
      </c>
      <c r="C157" s="39" t="s">
        <v>416</v>
      </c>
      <c r="D157" s="40" t="s">
        <v>440</v>
      </c>
      <c r="E157" s="40" t="s">
        <v>437</v>
      </c>
      <c r="F157" s="40" t="s">
        <v>434</v>
      </c>
      <c r="G157" s="41" t="n">
        <f aca="false">COUNTIF(Doors!$C$7:$C$46,"Passage")</f>
        <v>6</v>
      </c>
      <c r="H157" s="39" t="s">
        <v>191</v>
      </c>
      <c r="I157" s="42"/>
      <c r="J157" s="43" t="str">
        <f aca="false">IF(OR(I157="",G157=""),"",G157*I157)</f>
        <v/>
      </c>
      <c r="K157" s="44" t="str">
        <f aca="false">IF(J157="","",J157/'Start Here'!$C$6)</f>
        <v/>
      </c>
      <c r="L157" s="45"/>
      <c r="M157" s="45" t="s">
        <v>66</v>
      </c>
      <c r="N157" s="40"/>
      <c r="O157" s="46" t="str">
        <f aca="false">IF(B157="","",IF(B157='By Room'!$C$4,COUNTIF($B$5:B157,'By Room'!$C$4),""))</f>
        <v/>
      </c>
    </row>
    <row r="158" customFormat="false" ht="15" hidden="false" customHeight="false" outlineLevel="0" collapsed="false">
      <c r="A158" s="39" t="s">
        <v>441</v>
      </c>
      <c r="B158" s="39" t="s">
        <v>415</v>
      </c>
      <c r="C158" s="39" t="s">
        <v>416</v>
      </c>
      <c r="D158" s="40" t="s">
        <v>442</v>
      </c>
      <c r="E158" s="40" t="s">
        <v>443</v>
      </c>
      <c r="F158" s="40" t="s">
        <v>444</v>
      </c>
      <c r="G158" s="41" t="n">
        <f aca="false">COUNTIF(Doors!$C$7:$C$46,"Entrance")+COUNTIF(Doors!$C$7:$C$46,"External")+COUNTIF(Doors!$C$7:$C$46,"Bedroom")+COUNTIF(Doors!$C$7:$C$46,"Keyed")</f>
        <v>9</v>
      </c>
      <c r="H158" s="39" t="s">
        <v>117</v>
      </c>
      <c r="I158" s="42"/>
      <c r="J158" s="43" t="str">
        <f aca="false">IF(OR(I158="",G158=""),"",G158*I158)</f>
        <v/>
      </c>
      <c r="K158" s="44" t="str">
        <f aca="false">IF(J158="","",J158/'Start Here'!$C$6)</f>
        <v/>
      </c>
      <c r="L158" s="45"/>
      <c r="M158" s="45" t="s">
        <v>66</v>
      </c>
      <c r="N158" s="40" t="s">
        <v>445</v>
      </c>
      <c r="O158" s="46" t="str">
        <f aca="false">IF(B158="","",IF(B158='By Room'!$C$4,COUNTIF($B$5:B158,'By Room'!$C$4),""))</f>
        <v/>
      </c>
    </row>
    <row r="159" customFormat="false" ht="23.85" hidden="false" customHeight="false" outlineLevel="0" collapsed="false">
      <c r="A159" s="39" t="s">
        <v>446</v>
      </c>
      <c r="B159" s="39" t="s">
        <v>415</v>
      </c>
      <c r="C159" s="39" t="s">
        <v>416</v>
      </c>
      <c r="D159" s="40" t="s">
        <v>447</v>
      </c>
      <c r="E159" s="40" t="s">
        <v>448</v>
      </c>
      <c r="F159" s="40" t="s">
        <v>449</v>
      </c>
      <c r="G159" s="45" t="n">
        <v>1</v>
      </c>
      <c r="H159" s="39" t="s">
        <v>191</v>
      </c>
      <c r="I159" s="42"/>
      <c r="J159" s="43" t="str">
        <f aca="false">IF(OR(I159="",G159=""),"",G159*I159)</f>
        <v/>
      </c>
      <c r="K159" s="44" t="str">
        <f aca="false">IF(J159="","",J159/'Start Here'!$C$6)</f>
        <v/>
      </c>
      <c r="L159" s="45"/>
      <c r="M159" s="45" t="s">
        <v>66</v>
      </c>
      <c r="N159" s="40" t="s">
        <v>450</v>
      </c>
      <c r="O159" s="46" t="str">
        <f aca="false">IF(B159="","",IF(B159='By Room'!$C$4,COUNTIF($B$5:B159,'By Room'!$C$4),""))</f>
        <v/>
      </c>
    </row>
    <row r="160" customFormat="false" ht="23.85" hidden="false" customHeight="false" outlineLevel="0" collapsed="false">
      <c r="A160" s="39" t="s">
        <v>451</v>
      </c>
      <c r="B160" s="39" t="s">
        <v>415</v>
      </c>
      <c r="C160" s="39" t="s">
        <v>416</v>
      </c>
      <c r="D160" s="40" t="s">
        <v>452</v>
      </c>
      <c r="E160" s="40" t="s">
        <v>453</v>
      </c>
      <c r="F160" s="40" t="s">
        <v>454</v>
      </c>
      <c r="G160" s="45" t="n">
        <v>1</v>
      </c>
      <c r="H160" s="39" t="s">
        <v>117</v>
      </c>
      <c r="I160" s="42"/>
      <c r="J160" s="43" t="str">
        <f aca="false">IF(OR(I160="",G160=""),"",G160*I160)</f>
        <v/>
      </c>
      <c r="K160" s="44" t="str">
        <f aca="false">IF(J160="","",J160/'Start Here'!$C$6)</f>
        <v/>
      </c>
      <c r="L160" s="45"/>
      <c r="M160" s="45" t="s">
        <v>66</v>
      </c>
      <c r="N160" s="40" t="s">
        <v>455</v>
      </c>
      <c r="O160" s="46" t="str">
        <f aca="false">IF(B160="","",IF(B160='By Room'!$C$4,COUNTIF($B$5:B160,'By Room'!$C$4),""))</f>
        <v/>
      </c>
    </row>
    <row r="161" customFormat="false" ht="15" hidden="false" customHeight="false" outlineLevel="0" collapsed="false">
      <c r="A161" s="39" t="s">
        <v>456</v>
      </c>
      <c r="B161" s="39" t="s">
        <v>415</v>
      </c>
      <c r="C161" s="39" t="s">
        <v>416</v>
      </c>
      <c r="D161" s="40" t="s">
        <v>457</v>
      </c>
      <c r="E161" s="40" t="s">
        <v>458</v>
      </c>
      <c r="F161" s="40" t="s">
        <v>449</v>
      </c>
      <c r="G161" s="41" t="n">
        <f aca="false">COUNTIF(Doors!$C$7:$C$46,"Entrance")</f>
        <v>1</v>
      </c>
      <c r="H161" s="39" t="s">
        <v>117</v>
      </c>
      <c r="I161" s="42"/>
      <c r="J161" s="43" t="str">
        <f aca="false">IF(OR(I161="",G161=""),"",G161*I161)</f>
        <v/>
      </c>
      <c r="K161" s="44" t="str">
        <f aca="false">IF(J161="","",J161/'Start Here'!$C$6)</f>
        <v/>
      </c>
      <c r="L161" s="45"/>
      <c r="M161" s="45" t="s">
        <v>66</v>
      </c>
      <c r="N161" s="40"/>
      <c r="O161" s="46" t="str">
        <f aca="false">IF(B161="","",IF(B161='By Room'!$C$4,COUNTIF($B$5:B161,'By Room'!$C$4),""))</f>
        <v/>
      </c>
    </row>
    <row r="162" customFormat="false" ht="23.85" hidden="false" customHeight="false" outlineLevel="0" collapsed="false">
      <c r="A162" s="39" t="s">
        <v>459</v>
      </c>
      <c r="B162" s="39" t="s">
        <v>415</v>
      </c>
      <c r="C162" s="39" t="s">
        <v>416</v>
      </c>
      <c r="D162" s="40" t="s">
        <v>460</v>
      </c>
      <c r="E162" s="40" t="s">
        <v>461</v>
      </c>
      <c r="F162" s="40" t="s">
        <v>449</v>
      </c>
      <c r="G162" s="41" t="n">
        <f aca="false">COUNTIF(Doors!$C$7:$C$46,"Entrance")+COUNTIF(Doors!$C$7:$C$46,"External")</f>
        <v>3</v>
      </c>
      <c r="H162" s="39" t="s">
        <v>117</v>
      </c>
      <c r="I162" s="42"/>
      <c r="J162" s="43" t="str">
        <f aca="false">IF(OR(I162="",G162=""),"",G162*I162)</f>
        <v/>
      </c>
      <c r="K162" s="44" t="str">
        <f aca="false">IF(J162="","",J162/'Start Here'!$C$6)</f>
        <v/>
      </c>
      <c r="L162" s="45"/>
      <c r="M162" s="45" t="s">
        <v>66</v>
      </c>
      <c r="N162" s="40" t="s">
        <v>462</v>
      </c>
      <c r="O162" s="46" t="str">
        <f aca="false">IF(B162="","",IF(B162='By Room'!$C$4,COUNTIF($B$5:B162,'By Room'!$C$4),""))</f>
        <v/>
      </c>
    </row>
    <row r="163" customFormat="false" ht="23.85" hidden="false" customHeight="false" outlineLevel="0" collapsed="false">
      <c r="A163" s="39" t="s">
        <v>463</v>
      </c>
      <c r="B163" s="39" t="s">
        <v>415</v>
      </c>
      <c r="C163" s="39" t="s">
        <v>416</v>
      </c>
      <c r="D163" s="40" t="s">
        <v>464</v>
      </c>
      <c r="E163" s="40" t="s">
        <v>465</v>
      </c>
      <c r="F163" s="40" t="s">
        <v>466</v>
      </c>
      <c r="G163" s="41" t="n">
        <f aca="false">COUNTIF(Doors!$C$7:$C$46,"?*")</f>
        <v>22</v>
      </c>
      <c r="H163" s="39" t="s">
        <v>117</v>
      </c>
      <c r="I163" s="42"/>
      <c r="J163" s="43" t="str">
        <f aca="false">IF(OR(I163="",G163=""),"",G163*I163)</f>
        <v/>
      </c>
      <c r="K163" s="44" t="str">
        <f aca="false">IF(J163="","",J163/'Start Here'!$C$6)</f>
        <v/>
      </c>
      <c r="L163" s="45"/>
      <c r="M163" s="45" t="s">
        <v>66</v>
      </c>
      <c r="N163" s="40" t="s">
        <v>467</v>
      </c>
      <c r="O163" s="46" t="str">
        <f aca="false">IF(B163="","",IF(B163='By Room'!$C$4,COUNTIF($B$5:B163,'By Room'!$C$4),""))</f>
        <v/>
      </c>
    </row>
    <row r="164" customFormat="false" ht="15" hidden="false" customHeight="false" outlineLevel="0" collapsed="false">
      <c r="A164" s="39" t="s">
        <v>468</v>
      </c>
      <c r="B164" s="39" t="s">
        <v>415</v>
      </c>
      <c r="C164" s="39" t="s">
        <v>416</v>
      </c>
      <c r="D164" s="40" t="s">
        <v>469</v>
      </c>
      <c r="E164" s="40" t="s">
        <v>470</v>
      </c>
      <c r="F164" s="40" t="s">
        <v>471</v>
      </c>
      <c r="G164" s="41" t="n">
        <f aca="false">COUNTIF(Doors!$C$7:$C$46,"Entrance")+COUNTIF(Doors!$C$7:$C$46,"External")</f>
        <v>3</v>
      </c>
      <c r="H164" s="39" t="s">
        <v>191</v>
      </c>
      <c r="I164" s="42"/>
      <c r="J164" s="43" t="str">
        <f aca="false">IF(OR(I164="",G164=""),"",G164*I164)</f>
        <v/>
      </c>
      <c r="K164" s="44" t="str">
        <f aca="false">IF(J164="","",J164/'Start Here'!$C$6)</f>
        <v/>
      </c>
      <c r="L164" s="45"/>
      <c r="M164" s="45" t="s">
        <v>66</v>
      </c>
      <c r="N164" s="40"/>
      <c r="O164" s="46" t="str">
        <f aca="false">IF(B164="","",IF(B164='By Room'!$C$4,COUNTIF($B$5:B164,'By Room'!$C$4),""))</f>
        <v/>
      </c>
    </row>
    <row r="165" customFormat="false" ht="15" hidden="false" customHeight="false" outlineLevel="0" collapsed="false">
      <c r="A165" s="39" t="s">
        <v>472</v>
      </c>
      <c r="B165" s="39" t="s">
        <v>415</v>
      </c>
      <c r="C165" s="39" t="s">
        <v>416</v>
      </c>
      <c r="D165" s="40" t="s">
        <v>473</v>
      </c>
      <c r="E165" s="40" t="s">
        <v>474</v>
      </c>
      <c r="F165" s="40" t="s">
        <v>471</v>
      </c>
      <c r="G165" s="41" t="n">
        <f aca="false">COUNTIF(Doors!$C$7:$C$46,"Bedroom")</f>
        <v>5</v>
      </c>
      <c r="H165" s="39" t="s">
        <v>191</v>
      </c>
      <c r="I165" s="42"/>
      <c r="J165" s="43" t="str">
        <f aca="false">IF(OR(I165="",G165=""),"",G165*I165)</f>
        <v/>
      </c>
      <c r="K165" s="44" t="str">
        <f aca="false">IF(J165="","",J165/'Start Here'!$C$6)</f>
        <v/>
      </c>
      <c r="L165" s="45"/>
      <c r="M165" s="45" t="s">
        <v>66</v>
      </c>
      <c r="N165" s="40" t="s">
        <v>475</v>
      </c>
      <c r="O165" s="46" t="str">
        <f aca="false">IF(B165="","",IF(B165='By Room'!$C$4,COUNTIF($B$5:B165,'By Room'!$C$4),""))</f>
        <v/>
      </c>
    </row>
    <row r="166" customFormat="false" ht="15" hidden="false" customHeight="false" outlineLevel="0" collapsed="false">
      <c r="A166" s="39" t="s">
        <v>476</v>
      </c>
      <c r="B166" s="39" t="s">
        <v>415</v>
      </c>
      <c r="C166" s="39" t="s">
        <v>416</v>
      </c>
      <c r="D166" s="40" t="s">
        <v>477</v>
      </c>
      <c r="E166" s="40" t="s">
        <v>478</v>
      </c>
      <c r="F166" s="40" t="s">
        <v>479</v>
      </c>
      <c r="G166" s="41" t="n">
        <f aca="false">COUNTIF(Doors!$E$7:$E$46,"Floor stop")</f>
        <v>18</v>
      </c>
      <c r="H166" s="39" t="s">
        <v>117</v>
      </c>
      <c r="I166" s="42"/>
      <c r="J166" s="43" t="str">
        <f aca="false">IF(OR(I166="",G166=""),"",G166*I166)</f>
        <v/>
      </c>
      <c r="K166" s="44" t="str">
        <f aca="false">IF(J166="","",J166/'Start Here'!$C$6)</f>
        <v/>
      </c>
      <c r="L166" s="45"/>
      <c r="M166" s="45" t="s">
        <v>66</v>
      </c>
      <c r="N166" s="40"/>
      <c r="O166" s="46" t="str">
        <f aca="false">IF(B166="","",IF(B166='By Room'!$C$4,COUNTIF($B$5:B166,'By Room'!$C$4),""))</f>
        <v/>
      </c>
    </row>
    <row r="167" customFormat="false" ht="15" hidden="false" customHeight="false" outlineLevel="0" collapsed="false">
      <c r="A167" s="39" t="s">
        <v>480</v>
      </c>
      <c r="B167" s="39" t="s">
        <v>415</v>
      </c>
      <c r="C167" s="39" t="s">
        <v>416</v>
      </c>
      <c r="D167" s="40" t="s">
        <v>481</v>
      </c>
      <c r="E167" s="40" t="s">
        <v>482</v>
      </c>
      <c r="F167" s="40" t="s">
        <v>449</v>
      </c>
      <c r="G167" s="41" t="n">
        <f aca="false">COUNTIF(Doors!$E$7:$E$46,"Magnetic holder")</f>
        <v>4</v>
      </c>
      <c r="H167" s="39" t="s">
        <v>117</v>
      </c>
      <c r="I167" s="42"/>
      <c r="J167" s="43" t="str">
        <f aca="false">IF(OR(I167="",G167=""),"",G167*I167)</f>
        <v/>
      </c>
      <c r="K167" s="44" t="str">
        <f aca="false">IF(J167="","",J167/'Start Here'!$C$6)</f>
        <v/>
      </c>
      <c r="L167" s="45"/>
      <c r="M167" s="45" t="s">
        <v>66</v>
      </c>
      <c r="N167" s="40" t="s">
        <v>483</v>
      </c>
      <c r="O167" s="46" t="str">
        <f aca="false">IF(B167="","",IF(B167='By Room'!$C$4,COUNTIF($B$5:B167,'By Room'!$C$4),""))</f>
        <v/>
      </c>
    </row>
    <row r="168" customFormat="false" ht="15" hidden="false" customHeight="false" outlineLevel="0" collapsed="false">
      <c r="A168" s="39" t="s">
        <v>484</v>
      </c>
      <c r="B168" s="39" t="s">
        <v>415</v>
      </c>
      <c r="C168" s="39" t="s">
        <v>416</v>
      </c>
      <c r="D168" s="40" t="s">
        <v>485</v>
      </c>
      <c r="E168" s="40" t="s">
        <v>486</v>
      </c>
      <c r="F168" s="40" t="s">
        <v>449</v>
      </c>
      <c r="G168" s="41" t="n">
        <f aca="false">3*COUNTIF(Doors!$C$7:$C$46,"?*")</f>
        <v>66</v>
      </c>
      <c r="H168" s="39" t="s">
        <v>117</v>
      </c>
      <c r="I168" s="42"/>
      <c r="J168" s="43" t="str">
        <f aca="false">IF(OR(I168="",G168=""),"",G168*I168)</f>
        <v/>
      </c>
      <c r="K168" s="44" t="str">
        <f aca="false">IF(J168="","",J168/'Start Here'!$C$6)</f>
        <v/>
      </c>
      <c r="L168" s="45"/>
      <c r="M168" s="45" t="s">
        <v>66</v>
      </c>
      <c r="N168" s="40"/>
      <c r="O168" s="46" t="str">
        <f aca="false">IF(B168="","",IF(B168='By Room'!$C$4,COUNTIF($B$5:B168,'By Room'!$C$4),""))</f>
        <v/>
      </c>
    </row>
    <row r="169" customFormat="false" ht="23.85" hidden="false" customHeight="false" outlineLevel="0" collapsed="false">
      <c r="A169" s="39" t="s">
        <v>487</v>
      </c>
      <c r="B169" s="39" t="s">
        <v>75</v>
      </c>
      <c r="C169" s="39" t="s">
        <v>488</v>
      </c>
      <c r="D169" s="40" t="s">
        <v>489</v>
      </c>
      <c r="E169" s="40" t="s">
        <v>490</v>
      </c>
      <c r="F169" s="40" t="s">
        <v>491</v>
      </c>
      <c r="G169" s="45" t="n">
        <v>1</v>
      </c>
      <c r="H169" s="39" t="s">
        <v>191</v>
      </c>
      <c r="I169" s="42"/>
      <c r="J169" s="43" t="str">
        <f aca="false">IF(OR(I169="",G169=""),"",G169*I169)</f>
        <v/>
      </c>
      <c r="K169" s="44" t="str">
        <f aca="false">IF(J169="","",J169/'Start Here'!$C$6)</f>
        <v/>
      </c>
      <c r="L169" s="45"/>
      <c r="M169" s="45" t="s">
        <v>66</v>
      </c>
      <c r="N169" s="40" t="s">
        <v>492</v>
      </c>
      <c r="O169" s="46" t="n">
        <f aca="false">IF(B169="","",IF(B169='By Room'!$C$4,COUNTIF($B$5:B169,'By Room'!$C$4),""))</f>
        <v>5</v>
      </c>
    </row>
    <row r="170" customFormat="false" ht="23.85" hidden="false" customHeight="false" outlineLevel="0" collapsed="false">
      <c r="A170" s="39" t="s">
        <v>493</v>
      </c>
      <c r="B170" s="39" t="s">
        <v>75</v>
      </c>
      <c r="C170" s="39" t="s">
        <v>488</v>
      </c>
      <c r="D170" s="40" t="s">
        <v>494</v>
      </c>
      <c r="E170" s="40" t="s">
        <v>490</v>
      </c>
      <c r="F170" s="40" t="s">
        <v>495</v>
      </c>
      <c r="G170" s="45" t="n">
        <v>1</v>
      </c>
      <c r="H170" s="39" t="s">
        <v>191</v>
      </c>
      <c r="I170" s="42"/>
      <c r="J170" s="43" t="str">
        <f aca="false">IF(OR(I170="",G170=""),"",G170*I170)</f>
        <v/>
      </c>
      <c r="K170" s="44" t="str">
        <f aca="false">IF(J170="","",J170/'Start Here'!$C$6)</f>
        <v/>
      </c>
      <c r="L170" s="45"/>
      <c r="M170" s="45" t="s">
        <v>66</v>
      </c>
      <c r="N170" s="40"/>
      <c r="O170" s="46" t="n">
        <f aca="false">IF(B170="","",IF(B170='By Room'!$C$4,COUNTIF($B$5:B170,'By Room'!$C$4),""))</f>
        <v>6</v>
      </c>
    </row>
    <row r="171" customFormat="false" ht="23.85" hidden="false" customHeight="false" outlineLevel="0" collapsed="false">
      <c r="A171" s="39" t="s">
        <v>496</v>
      </c>
      <c r="B171" s="39" t="s">
        <v>75</v>
      </c>
      <c r="C171" s="39" t="s">
        <v>488</v>
      </c>
      <c r="D171" s="40" t="s">
        <v>497</v>
      </c>
      <c r="E171" s="40" t="s">
        <v>490</v>
      </c>
      <c r="F171" s="40" t="s">
        <v>498</v>
      </c>
      <c r="G171" s="45" t="n">
        <v>1</v>
      </c>
      <c r="H171" s="39" t="s">
        <v>191</v>
      </c>
      <c r="I171" s="42"/>
      <c r="J171" s="43" t="str">
        <f aca="false">IF(OR(I171="",G171=""),"",G171*I171)</f>
        <v/>
      </c>
      <c r="K171" s="44" t="str">
        <f aca="false">IF(J171="","",J171/'Start Here'!$C$6)</f>
        <v/>
      </c>
      <c r="L171" s="45"/>
      <c r="M171" s="45" t="s">
        <v>66</v>
      </c>
      <c r="N171" s="40" t="s">
        <v>499</v>
      </c>
      <c r="O171" s="46" t="n">
        <f aca="false">IF(B171="","",IF(B171='By Room'!$C$4,COUNTIF($B$5:B171,'By Room'!$C$4),""))</f>
        <v>7</v>
      </c>
    </row>
    <row r="172" customFormat="false" ht="23.85" hidden="false" customHeight="false" outlineLevel="0" collapsed="false">
      <c r="A172" s="39" t="s">
        <v>500</v>
      </c>
      <c r="B172" s="39" t="s">
        <v>75</v>
      </c>
      <c r="C172" s="39" t="s">
        <v>488</v>
      </c>
      <c r="D172" s="40" t="s">
        <v>501</v>
      </c>
      <c r="E172" s="40" t="s">
        <v>490</v>
      </c>
      <c r="F172" s="40" t="s">
        <v>502</v>
      </c>
      <c r="G172" s="45" t="n">
        <v>1</v>
      </c>
      <c r="H172" s="39" t="s">
        <v>191</v>
      </c>
      <c r="I172" s="42"/>
      <c r="J172" s="43" t="str">
        <f aca="false">IF(OR(I172="",G172=""),"",G172*I172)</f>
        <v/>
      </c>
      <c r="K172" s="44" t="str">
        <f aca="false">IF(J172="","",J172/'Start Here'!$C$6)</f>
        <v/>
      </c>
      <c r="L172" s="45"/>
      <c r="M172" s="45" t="s">
        <v>66</v>
      </c>
      <c r="N172" s="40"/>
      <c r="O172" s="46" t="n">
        <f aca="false">IF(B172="","",IF(B172='By Room'!$C$4,COUNTIF($B$5:B172,'By Room'!$C$4),""))</f>
        <v>8</v>
      </c>
    </row>
    <row r="173" customFormat="false" ht="15" hidden="false" customHeight="false" outlineLevel="0" collapsed="false">
      <c r="A173" s="39" t="s">
        <v>503</v>
      </c>
      <c r="B173" s="39" t="s">
        <v>75</v>
      </c>
      <c r="C173" s="39" t="s">
        <v>488</v>
      </c>
      <c r="D173" s="40" t="s">
        <v>504</v>
      </c>
      <c r="E173" s="40" t="s">
        <v>505</v>
      </c>
      <c r="F173" s="40" t="s">
        <v>506</v>
      </c>
      <c r="G173" s="45" t="n">
        <v>7</v>
      </c>
      <c r="H173" s="39" t="s">
        <v>65</v>
      </c>
      <c r="I173" s="42"/>
      <c r="J173" s="43" t="str">
        <f aca="false">IF(OR(I173="",G173=""),"",G173*I173)</f>
        <v/>
      </c>
      <c r="K173" s="44" t="str">
        <f aca="false">IF(J173="","",J173/'Start Here'!$C$6)</f>
        <v/>
      </c>
      <c r="L173" s="45"/>
      <c r="M173" s="45" t="s">
        <v>66</v>
      </c>
      <c r="N173" s="40" t="s">
        <v>507</v>
      </c>
      <c r="O173" s="46" t="n">
        <f aca="false">IF(B173="","",IF(B173='By Room'!$C$4,COUNTIF($B$5:B173,'By Room'!$C$4),""))</f>
        <v>9</v>
      </c>
    </row>
    <row r="174" customFormat="false" ht="15" hidden="false" customHeight="false" outlineLevel="0" collapsed="false">
      <c r="A174" s="39" t="s">
        <v>508</v>
      </c>
      <c r="B174" s="39" t="s">
        <v>75</v>
      </c>
      <c r="C174" s="39" t="s">
        <v>488</v>
      </c>
      <c r="D174" s="40" t="s">
        <v>509</v>
      </c>
      <c r="E174" s="40" t="s">
        <v>510</v>
      </c>
      <c r="F174" s="40" t="s">
        <v>314</v>
      </c>
      <c r="G174" s="45" t="n">
        <v>3</v>
      </c>
      <c r="H174" s="39" t="s">
        <v>117</v>
      </c>
      <c r="I174" s="42"/>
      <c r="J174" s="43" t="str">
        <f aca="false">IF(OR(I174="",G174=""),"",G174*I174)</f>
        <v/>
      </c>
      <c r="K174" s="44" t="str">
        <f aca="false">IF(J174="","",J174/'Start Here'!$C$6)</f>
        <v/>
      </c>
      <c r="L174" s="45"/>
      <c r="M174" s="45" t="s">
        <v>66</v>
      </c>
      <c r="N174" s="40"/>
      <c r="O174" s="46" t="n">
        <f aca="false">IF(B174="","",IF(B174='By Room'!$C$4,COUNTIF($B$5:B174,'By Room'!$C$4),""))</f>
        <v>10</v>
      </c>
    </row>
    <row r="175" customFormat="false" ht="35.05" hidden="false" customHeight="false" outlineLevel="0" collapsed="false">
      <c r="A175" s="39" t="s">
        <v>511</v>
      </c>
      <c r="B175" s="39" t="s">
        <v>75</v>
      </c>
      <c r="C175" s="39" t="s">
        <v>488</v>
      </c>
      <c r="D175" s="40" t="s">
        <v>512</v>
      </c>
      <c r="E175" s="40" t="s">
        <v>513</v>
      </c>
      <c r="F175" s="40" t="s">
        <v>514</v>
      </c>
      <c r="G175" s="45" t="n">
        <v>1</v>
      </c>
      <c r="H175" s="39" t="s">
        <v>191</v>
      </c>
      <c r="I175" s="42"/>
      <c r="J175" s="43" t="str">
        <f aca="false">IF(OR(I175="",G175=""),"",G175*I175)</f>
        <v/>
      </c>
      <c r="K175" s="44" t="str">
        <f aca="false">IF(J175="","",J175/'Start Here'!$C$6)</f>
        <v/>
      </c>
      <c r="L175" s="45"/>
      <c r="M175" s="45" t="s">
        <v>66</v>
      </c>
      <c r="N175" s="40"/>
      <c r="O175" s="46" t="n">
        <f aca="false">IF(B175="","",IF(B175='By Room'!$C$4,COUNTIF($B$5:B175,'By Room'!$C$4),""))</f>
        <v>11</v>
      </c>
    </row>
    <row r="176" customFormat="false" ht="23.85" hidden="false" customHeight="false" outlineLevel="0" collapsed="false">
      <c r="A176" s="39" t="s">
        <v>515</v>
      </c>
      <c r="B176" s="39" t="s">
        <v>75</v>
      </c>
      <c r="C176" s="39" t="s">
        <v>488</v>
      </c>
      <c r="D176" s="40" t="s">
        <v>516</v>
      </c>
      <c r="E176" s="40" t="s">
        <v>517</v>
      </c>
      <c r="F176" s="40" t="s">
        <v>518</v>
      </c>
      <c r="G176" s="45" t="n">
        <v>1</v>
      </c>
      <c r="H176" s="39" t="s">
        <v>117</v>
      </c>
      <c r="I176" s="42"/>
      <c r="J176" s="43" t="str">
        <f aca="false">IF(OR(I176="",G176=""),"",G176*I176)</f>
        <v/>
      </c>
      <c r="K176" s="44" t="str">
        <f aca="false">IF(J176="","",J176/'Start Here'!$C$6)</f>
        <v/>
      </c>
      <c r="L176" s="45"/>
      <c r="M176" s="45" t="s">
        <v>66</v>
      </c>
      <c r="N176" s="40" t="s">
        <v>519</v>
      </c>
      <c r="O176" s="46" t="n">
        <f aca="false">IF(B176="","",IF(B176='By Room'!$C$4,COUNTIF($B$5:B176,'By Room'!$C$4),""))</f>
        <v>12</v>
      </c>
    </row>
    <row r="177" customFormat="false" ht="23.85" hidden="false" customHeight="false" outlineLevel="0" collapsed="false">
      <c r="A177" s="39" t="s">
        <v>520</v>
      </c>
      <c r="B177" s="39" t="s">
        <v>75</v>
      </c>
      <c r="C177" s="39" t="s">
        <v>488</v>
      </c>
      <c r="D177" s="40" t="s">
        <v>521</v>
      </c>
      <c r="E177" s="40" t="s">
        <v>522</v>
      </c>
      <c r="F177" s="40" t="s">
        <v>523</v>
      </c>
      <c r="G177" s="45" t="n">
        <v>1</v>
      </c>
      <c r="H177" s="39" t="s">
        <v>117</v>
      </c>
      <c r="I177" s="42"/>
      <c r="J177" s="43" t="str">
        <f aca="false">IF(OR(I177="",G177=""),"",G177*I177)</f>
        <v/>
      </c>
      <c r="K177" s="44" t="str">
        <f aca="false">IF(J177="","",J177/'Start Here'!$C$6)</f>
        <v/>
      </c>
      <c r="L177" s="45"/>
      <c r="M177" s="45" t="s">
        <v>66</v>
      </c>
      <c r="N177" s="40" t="s">
        <v>524</v>
      </c>
      <c r="O177" s="46" t="n">
        <f aca="false">IF(B177="","",IF(B177='By Room'!$C$4,COUNTIF($B$5:B177,'By Room'!$C$4),""))</f>
        <v>13</v>
      </c>
    </row>
    <row r="178" customFormat="false" ht="23.85" hidden="false" customHeight="false" outlineLevel="0" collapsed="false">
      <c r="A178" s="39" t="s">
        <v>525</v>
      </c>
      <c r="B178" s="39" t="s">
        <v>75</v>
      </c>
      <c r="C178" s="39" t="s">
        <v>488</v>
      </c>
      <c r="D178" s="40" t="s">
        <v>526</v>
      </c>
      <c r="E178" s="40" t="s">
        <v>527</v>
      </c>
      <c r="F178" s="40" t="s">
        <v>528</v>
      </c>
      <c r="G178" s="45" t="n">
        <v>1</v>
      </c>
      <c r="H178" s="39" t="s">
        <v>117</v>
      </c>
      <c r="I178" s="42"/>
      <c r="J178" s="43" t="str">
        <f aca="false">IF(OR(I178="",G178=""),"",G178*I178)</f>
        <v/>
      </c>
      <c r="K178" s="44" t="str">
        <f aca="false">IF(J178="","",J178/'Start Here'!$C$6)</f>
        <v/>
      </c>
      <c r="L178" s="45"/>
      <c r="M178" s="45" t="s">
        <v>66</v>
      </c>
      <c r="N178" s="40"/>
      <c r="O178" s="46" t="n">
        <f aca="false">IF(B178="","",IF(B178='By Room'!$C$4,COUNTIF($B$5:B178,'By Room'!$C$4),""))</f>
        <v>14</v>
      </c>
    </row>
    <row r="179" customFormat="false" ht="23.85" hidden="false" customHeight="false" outlineLevel="0" collapsed="false">
      <c r="A179" s="39" t="s">
        <v>529</v>
      </c>
      <c r="B179" s="39" t="s">
        <v>75</v>
      </c>
      <c r="C179" s="39" t="s">
        <v>488</v>
      </c>
      <c r="D179" s="40" t="s">
        <v>530</v>
      </c>
      <c r="E179" s="40" t="s">
        <v>531</v>
      </c>
      <c r="F179" s="40" t="s">
        <v>532</v>
      </c>
      <c r="G179" s="45" t="n">
        <v>1</v>
      </c>
      <c r="H179" s="39" t="s">
        <v>117</v>
      </c>
      <c r="I179" s="42"/>
      <c r="J179" s="43" t="str">
        <f aca="false">IF(OR(I179="",G179=""),"",G179*I179)</f>
        <v/>
      </c>
      <c r="K179" s="44" t="str">
        <f aca="false">IF(J179="","",J179/'Start Here'!$C$6)</f>
        <v/>
      </c>
      <c r="L179" s="45"/>
      <c r="M179" s="45" t="s">
        <v>66</v>
      </c>
      <c r="N179" s="40"/>
      <c r="O179" s="46" t="n">
        <f aca="false">IF(B179="","",IF(B179='By Room'!$C$4,COUNTIF($B$5:B179,'By Room'!$C$4),""))</f>
        <v>15</v>
      </c>
    </row>
    <row r="180" customFormat="false" ht="23.85" hidden="false" customHeight="false" outlineLevel="0" collapsed="false">
      <c r="A180" s="39" t="s">
        <v>533</v>
      </c>
      <c r="B180" s="39" t="s">
        <v>75</v>
      </c>
      <c r="C180" s="39" t="s">
        <v>488</v>
      </c>
      <c r="D180" s="40" t="s">
        <v>534</v>
      </c>
      <c r="E180" s="40" t="s">
        <v>535</v>
      </c>
      <c r="F180" s="40" t="s">
        <v>536</v>
      </c>
      <c r="G180" s="45" t="n">
        <v>1</v>
      </c>
      <c r="H180" s="39" t="s">
        <v>117</v>
      </c>
      <c r="I180" s="42"/>
      <c r="J180" s="43" t="str">
        <f aca="false">IF(OR(I180="",G180=""),"",G180*I180)</f>
        <v/>
      </c>
      <c r="K180" s="44" t="str">
        <f aca="false">IF(J180="","",J180/'Start Here'!$C$6)</f>
        <v/>
      </c>
      <c r="L180" s="45"/>
      <c r="M180" s="45" t="s">
        <v>66</v>
      </c>
      <c r="N180" s="40" t="s">
        <v>537</v>
      </c>
      <c r="O180" s="46" t="n">
        <f aca="false">IF(B180="","",IF(B180='By Room'!$C$4,COUNTIF($B$5:B180,'By Room'!$C$4),""))</f>
        <v>16</v>
      </c>
    </row>
    <row r="181" customFormat="false" ht="23.85" hidden="false" customHeight="false" outlineLevel="0" collapsed="false">
      <c r="A181" s="39" t="s">
        <v>538</v>
      </c>
      <c r="B181" s="39" t="s">
        <v>75</v>
      </c>
      <c r="C181" s="39" t="s">
        <v>488</v>
      </c>
      <c r="D181" s="40" t="s">
        <v>539</v>
      </c>
      <c r="E181" s="40" t="s">
        <v>540</v>
      </c>
      <c r="F181" s="40" t="s">
        <v>541</v>
      </c>
      <c r="G181" s="45" t="n">
        <v>1</v>
      </c>
      <c r="H181" s="39" t="s">
        <v>117</v>
      </c>
      <c r="I181" s="42"/>
      <c r="J181" s="43" t="str">
        <f aca="false">IF(OR(I181="",G181=""),"",G181*I181)</f>
        <v/>
      </c>
      <c r="K181" s="44" t="str">
        <f aca="false">IF(J181="","",J181/'Start Here'!$C$6)</f>
        <v/>
      </c>
      <c r="L181" s="45"/>
      <c r="M181" s="45" t="s">
        <v>66</v>
      </c>
      <c r="N181" s="40" t="s">
        <v>542</v>
      </c>
      <c r="O181" s="46" t="n">
        <f aca="false">IF(B181="","",IF(B181='By Room'!$C$4,COUNTIF($B$5:B181,'By Room'!$C$4),""))</f>
        <v>17</v>
      </c>
    </row>
    <row r="182" customFormat="false" ht="35.05" hidden="false" customHeight="false" outlineLevel="0" collapsed="false">
      <c r="A182" s="39" t="s">
        <v>543</v>
      </c>
      <c r="B182" s="39" t="s">
        <v>82</v>
      </c>
      <c r="C182" s="39" t="s">
        <v>488</v>
      </c>
      <c r="D182" s="40" t="s">
        <v>544</v>
      </c>
      <c r="E182" s="40" t="s">
        <v>545</v>
      </c>
      <c r="F182" s="40" t="s">
        <v>546</v>
      </c>
      <c r="G182" s="45" t="n">
        <v>1</v>
      </c>
      <c r="H182" s="39" t="s">
        <v>191</v>
      </c>
      <c r="I182" s="42"/>
      <c r="J182" s="43" t="str">
        <f aca="false">IF(OR(I182="",G182=""),"",G182*I182)</f>
        <v/>
      </c>
      <c r="K182" s="44" t="str">
        <f aca="false">IF(J182="","",J182/'Start Here'!$C$6)</f>
        <v/>
      </c>
      <c r="L182" s="45"/>
      <c r="M182" s="45" t="s">
        <v>66</v>
      </c>
      <c r="N182" s="40"/>
      <c r="O182" s="46" t="str">
        <f aca="false">IF(B182="","",IF(B182='By Room'!$C$4,COUNTIF($B$5:B182,'By Room'!$C$4),""))</f>
        <v/>
      </c>
    </row>
    <row r="183" customFormat="false" ht="15" hidden="false" customHeight="false" outlineLevel="0" collapsed="false">
      <c r="A183" s="39" t="s">
        <v>547</v>
      </c>
      <c r="B183" s="39" t="s">
        <v>73</v>
      </c>
      <c r="C183" s="39" t="s">
        <v>548</v>
      </c>
      <c r="D183" s="40" t="s">
        <v>549</v>
      </c>
      <c r="E183" s="40" t="s">
        <v>550</v>
      </c>
      <c r="F183" s="40" t="s">
        <v>551</v>
      </c>
      <c r="G183" s="45" t="n">
        <v>1</v>
      </c>
      <c r="H183" s="39" t="s">
        <v>117</v>
      </c>
      <c r="I183" s="42"/>
      <c r="J183" s="43" t="str">
        <f aca="false">IF(OR(I183="",G183=""),"",G183*I183)</f>
        <v/>
      </c>
      <c r="K183" s="44" t="str">
        <f aca="false">IF(J183="","",J183/'Start Here'!$C$6)</f>
        <v/>
      </c>
      <c r="L183" s="45"/>
      <c r="M183" s="45" t="s">
        <v>66</v>
      </c>
      <c r="N183" s="40" t="s">
        <v>552</v>
      </c>
      <c r="O183" s="46" t="str">
        <f aca="false">IF(B183="","",IF(B183='By Room'!$C$4,COUNTIF($B$5:B183,'By Room'!$C$4),""))</f>
        <v/>
      </c>
    </row>
    <row r="184" customFormat="false" ht="15" hidden="false" customHeight="false" outlineLevel="0" collapsed="false">
      <c r="A184" s="39" t="s">
        <v>553</v>
      </c>
      <c r="B184" s="39" t="s">
        <v>73</v>
      </c>
      <c r="C184" s="39" t="s">
        <v>548</v>
      </c>
      <c r="D184" s="40" t="s">
        <v>554</v>
      </c>
      <c r="E184" s="40" t="s">
        <v>555</v>
      </c>
      <c r="F184" s="40" t="s">
        <v>314</v>
      </c>
      <c r="G184" s="45" t="n">
        <v>8</v>
      </c>
      <c r="H184" s="39" t="s">
        <v>117</v>
      </c>
      <c r="I184" s="42"/>
      <c r="J184" s="43" t="str">
        <f aca="false">IF(OR(I184="",G184=""),"",G184*I184)</f>
        <v/>
      </c>
      <c r="K184" s="44" t="str">
        <f aca="false">IF(J184="","",J184/'Start Here'!$C$6)</f>
        <v/>
      </c>
      <c r="L184" s="45"/>
      <c r="M184" s="45" t="s">
        <v>66</v>
      </c>
      <c r="N184" s="40"/>
      <c r="O184" s="46" t="str">
        <f aca="false">IF(B184="","",IF(B184='By Room'!$C$4,COUNTIF($B$5:B184,'By Room'!$C$4),""))</f>
        <v/>
      </c>
    </row>
    <row r="185" customFormat="false" ht="15" hidden="false" customHeight="false" outlineLevel="0" collapsed="false">
      <c r="A185" s="39" t="s">
        <v>556</v>
      </c>
      <c r="B185" s="39" t="s">
        <v>73</v>
      </c>
      <c r="C185" s="39" t="s">
        <v>548</v>
      </c>
      <c r="D185" s="40" t="s">
        <v>557</v>
      </c>
      <c r="E185" s="40" t="s">
        <v>558</v>
      </c>
      <c r="F185" s="40" t="s">
        <v>559</v>
      </c>
      <c r="G185" s="45" t="n">
        <v>1</v>
      </c>
      <c r="H185" s="39" t="s">
        <v>117</v>
      </c>
      <c r="I185" s="42"/>
      <c r="J185" s="43" t="str">
        <f aca="false">IF(OR(I185="",G185=""),"",G185*I185)</f>
        <v/>
      </c>
      <c r="K185" s="44" t="str">
        <f aca="false">IF(J185="","",J185/'Start Here'!$C$6)</f>
        <v/>
      </c>
      <c r="L185" s="45"/>
      <c r="M185" s="45" t="s">
        <v>66</v>
      </c>
      <c r="N185" s="40"/>
      <c r="O185" s="46" t="str">
        <f aca="false">IF(B185="","",IF(B185='By Room'!$C$4,COUNTIF($B$5:B185,'By Room'!$C$4),""))</f>
        <v/>
      </c>
    </row>
    <row r="186" customFormat="false" ht="15" hidden="false" customHeight="false" outlineLevel="0" collapsed="false">
      <c r="A186" s="39" t="s">
        <v>560</v>
      </c>
      <c r="B186" s="39" t="s">
        <v>73</v>
      </c>
      <c r="C186" s="39" t="s">
        <v>548</v>
      </c>
      <c r="D186" s="40" t="s">
        <v>561</v>
      </c>
      <c r="E186" s="40" t="s">
        <v>562</v>
      </c>
      <c r="F186" s="40" t="s">
        <v>563</v>
      </c>
      <c r="G186" s="45" t="n">
        <v>1</v>
      </c>
      <c r="H186" s="39" t="s">
        <v>191</v>
      </c>
      <c r="I186" s="42"/>
      <c r="J186" s="43" t="str">
        <f aca="false">IF(OR(I186="",G186=""),"",G186*I186)</f>
        <v/>
      </c>
      <c r="K186" s="44" t="str">
        <f aca="false">IF(J186="","",J186/'Start Here'!$C$6)</f>
        <v/>
      </c>
      <c r="L186" s="45"/>
      <c r="M186" s="45" t="s">
        <v>66</v>
      </c>
      <c r="N186" s="40"/>
      <c r="O186" s="46" t="str">
        <f aca="false">IF(B186="","",IF(B186='By Room'!$C$4,COUNTIF($B$5:B186,'By Room'!$C$4),""))</f>
        <v/>
      </c>
    </row>
    <row r="187" customFormat="false" ht="15" hidden="false" customHeight="false" outlineLevel="0" collapsed="false">
      <c r="A187" s="39" t="s">
        <v>564</v>
      </c>
      <c r="B187" s="39" t="s">
        <v>71</v>
      </c>
      <c r="C187" s="39" t="s">
        <v>565</v>
      </c>
      <c r="D187" s="40" t="s">
        <v>566</v>
      </c>
      <c r="E187" s="40" t="s">
        <v>567</v>
      </c>
      <c r="F187" s="40" t="s">
        <v>568</v>
      </c>
      <c r="G187" s="45" t="n">
        <v>1</v>
      </c>
      <c r="H187" s="39" t="s">
        <v>191</v>
      </c>
      <c r="I187" s="42"/>
      <c r="J187" s="43" t="str">
        <f aca="false">IF(OR(I187="",G187=""),"",G187*I187)</f>
        <v/>
      </c>
      <c r="K187" s="44" t="str">
        <f aca="false">IF(J187="","",J187/'Start Here'!$C$6)</f>
        <v/>
      </c>
      <c r="L187" s="45"/>
      <c r="M187" s="45" t="s">
        <v>66</v>
      </c>
      <c r="N187" s="40" t="s">
        <v>569</v>
      </c>
      <c r="O187" s="46" t="str">
        <f aca="false">IF(B187="","",IF(B187='By Room'!$C$4,COUNTIF($B$5:B187,'By Room'!$C$4),""))</f>
        <v/>
      </c>
    </row>
    <row r="188" customFormat="false" ht="15" hidden="false" customHeight="false" outlineLevel="0" collapsed="false">
      <c r="A188" s="39" t="s">
        <v>570</v>
      </c>
      <c r="B188" s="39" t="s">
        <v>71</v>
      </c>
      <c r="C188" s="39" t="s">
        <v>565</v>
      </c>
      <c r="D188" s="40" t="s">
        <v>571</v>
      </c>
      <c r="E188" s="40" t="s">
        <v>572</v>
      </c>
      <c r="F188" s="40" t="s">
        <v>314</v>
      </c>
      <c r="G188" s="45" t="n">
        <v>2</v>
      </c>
      <c r="H188" s="39" t="s">
        <v>117</v>
      </c>
      <c r="I188" s="42"/>
      <c r="J188" s="43" t="str">
        <f aca="false">IF(OR(I188="",G188=""),"",G188*I188)</f>
        <v/>
      </c>
      <c r="K188" s="44" t="str">
        <f aca="false">IF(J188="","",J188/'Start Here'!$C$6)</f>
        <v/>
      </c>
      <c r="L188" s="45"/>
      <c r="M188" s="45" t="s">
        <v>66</v>
      </c>
      <c r="N188" s="40"/>
      <c r="O188" s="46" t="str">
        <f aca="false">IF(B188="","",IF(B188='By Room'!$C$4,COUNTIF($B$5:B188,'By Room'!$C$4),""))</f>
        <v/>
      </c>
    </row>
    <row r="189" customFormat="false" ht="15" hidden="false" customHeight="false" outlineLevel="0" collapsed="false">
      <c r="A189" s="39" t="s">
        <v>573</v>
      </c>
      <c r="B189" s="39" t="s">
        <v>71</v>
      </c>
      <c r="C189" s="39" t="s">
        <v>565</v>
      </c>
      <c r="D189" s="40" t="s">
        <v>574</v>
      </c>
      <c r="E189" s="40" t="s">
        <v>575</v>
      </c>
      <c r="F189" s="40" t="s">
        <v>576</v>
      </c>
      <c r="G189" s="45" t="n">
        <v>1</v>
      </c>
      <c r="H189" s="39" t="s">
        <v>191</v>
      </c>
      <c r="I189" s="42"/>
      <c r="J189" s="43" t="str">
        <f aca="false">IF(OR(I189="",G189=""),"",G189*I189)</f>
        <v/>
      </c>
      <c r="K189" s="44" t="str">
        <f aca="false">IF(J189="","",J189/'Start Here'!$C$6)</f>
        <v/>
      </c>
      <c r="L189" s="45"/>
      <c r="M189" s="45" t="s">
        <v>66</v>
      </c>
      <c r="N189" s="40"/>
      <c r="O189" s="46" t="str">
        <f aca="false">IF(B189="","",IF(B189='By Room'!$C$4,COUNTIF($B$5:B189,'By Room'!$C$4),""))</f>
        <v/>
      </c>
    </row>
    <row r="190" customFormat="false" ht="15" hidden="false" customHeight="false" outlineLevel="0" collapsed="false">
      <c r="A190" s="39" t="s">
        <v>577</v>
      </c>
      <c r="B190" s="39" t="s">
        <v>71</v>
      </c>
      <c r="C190" s="39" t="s">
        <v>565</v>
      </c>
      <c r="D190" s="40" t="s">
        <v>578</v>
      </c>
      <c r="E190" s="40" t="s">
        <v>579</v>
      </c>
      <c r="F190" s="40" t="s">
        <v>580</v>
      </c>
      <c r="G190" s="45" t="n">
        <v>1</v>
      </c>
      <c r="H190" s="39" t="s">
        <v>117</v>
      </c>
      <c r="I190" s="42"/>
      <c r="J190" s="43" t="str">
        <f aca="false">IF(OR(I190="",G190=""),"",G190*I190)</f>
        <v/>
      </c>
      <c r="K190" s="44" t="str">
        <f aca="false">IF(J190="","",J190/'Start Here'!$C$6)</f>
        <v/>
      </c>
      <c r="L190" s="45"/>
      <c r="M190" s="45" t="s">
        <v>66</v>
      </c>
      <c r="N190" s="40" t="s">
        <v>581</v>
      </c>
      <c r="O190" s="46" t="str">
        <f aca="false">IF(B190="","",IF(B190='By Room'!$C$4,COUNTIF($B$5:B190,'By Room'!$C$4),""))</f>
        <v/>
      </c>
    </row>
    <row r="191" customFormat="false" ht="15" hidden="false" customHeight="false" outlineLevel="0" collapsed="false">
      <c r="A191" s="39" t="s">
        <v>582</v>
      </c>
      <c r="B191" s="39" t="s">
        <v>71</v>
      </c>
      <c r="C191" s="39" t="s">
        <v>565</v>
      </c>
      <c r="D191" s="40" t="s">
        <v>583</v>
      </c>
      <c r="E191" s="40" t="s">
        <v>584</v>
      </c>
      <c r="F191" s="40" t="s">
        <v>585</v>
      </c>
      <c r="G191" s="45" t="n">
        <v>1</v>
      </c>
      <c r="H191" s="39" t="s">
        <v>117</v>
      </c>
      <c r="I191" s="42"/>
      <c r="J191" s="43" t="str">
        <f aca="false">IF(OR(I191="",G191=""),"",G191*I191)</f>
        <v/>
      </c>
      <c r="K191" s="44" t="str">
        <f aca="false">IF(J191="","",J191/'Start Here'!$C$6)</f>
        <v/>
      </c>
      <c r="L191" s="45"/>
      <c r="M191" s="45" t="s">
        <v>66</v>
      </c>
      <c r="N191" s="40"/>
      <c r="O191" s="46" t="str">
        <f aca="false">IF(B191="","",IF(B191='By Room'!$C$4,COUNTIF($B$5:B191,'By Room'!$C$4),""))</f>
        <v/>
      </c>
    </row>
    <row r="192" customFormat="false" ht="15" hidden="false" customHeight="false" outlineLevel="0" collapsed="false">
      <c r="A192" s="39" t="s">
        <v>586</v>
      </c>
      <c r="B192" s="39" t="s">
        <v>71</v>
      </c>
      <c r="C192" s="39" t="s">
        <v>565</v>
      </c>
      <c r="D192" s="40" t="s">
        <v>561</v>
      </c>
      <c r="E192" s="40" t="s">
        <v>562</v>
      </c>
      <c r="F192" s="40" t="s">
        <v>563</v>
      </c>
      <c r="G192" s="45" t="n">
        <v>2</v>
      </c>
      <c r="H192" s="39" t="s">
        <v>191</v>
      </c>
      <c r="I192" s="42"/>
      <c r="J192" s="43" t="str">
        <f aca="false">IF(OR(I192="",G192=""),"",G192*I192)</f>
        <v/>
      </c>
      <c r="K192" s="44" t="str">
        <f aca="false">IF(J192="","",J192/'Start Here'!$C$6)</f>
        <v/>
      </c>
      <c r="L192" s="45"/>
      <c r="M192" s="45" t="s">
        <v>66</v>
      </c>
      <c r="N192" s="40"/>
      <c r="O192" s="46" t="str">
        <f aca="false">IF(B192="","",IF(B192='By Room'!$C$4,COUNTIF($B$5:B192,'By Room'!$C$4),""))</f>
        <v/>
      </c>
    </row>
    <row r="193" customFormat="false" ht="23.85" hidden="false" customHeight="false" outlineLevel="0" collapsed="false">
      <c r="A193" s="39" t="s">
        <v>587</v>
      </c>
      <c r="B193" s="39" t="s">
        <v>131</v>
      </c>
      <c r="C193" s="39" t="s">
        <v>588</v>
      </c>
      <c r="D193" s="40" t="s">
        <v>589</v>
      </c>
      <c r="E193" s="40" t="s">
        <v>590</v>
      </c>
      <c r="F193" s="40" t="s">
        <v>591</v>
      </c>
      <c r="G193" s="45" t="n">
        <v>1</v>
      </c>
      <c r="H193" s="39" t="s">
        <v>117</v>
      </c>
      <c r="I193" s="42"/>
      <c r="J193" s="43" t="str">
        <f aca="false">IF(OR(I193="",G193=""),"",G193*I193)</f>
        <v/>
      </c>
      <c r="K193" s="44" t="str">
        <f aca="false">IF(J193="","",J193/'Start Here'!$C$6)</f>
        <v/>
      </c>
      <c r="L193" s="45"/>
      <c r="M193" s="45" t="s">
        <v>66</v>
      </c>
      <c r="N193" s="40" t="s">
        <v>592</v>
      </c>
      <c r="O193" s="46" t="str">
        <f aca="false">IF(B193="","",IF(B193='By Room'!$C$4,COUNTIF($B$5:B193,'By Room'!$C$4),""))</f>
        <v/>
      </c>
    </row>
    <row r="194" customFormat="false" ht="15" hidden="false" customHeight="false" outlineLevel="0" collapsed="false">
      <c r="A194" s="39" t="s">
        <v>593</v>
      </c>
      <c r="B194" s="39" t="s">
        <v>131</v>
      </c>
      <c r="C194" s="39" t="s">
        <v>588</v>
      </c>
      <c r="D194" s="40" t="s">
        <v>594</v>
      </c>
      <c r="E194" s="40" t="s">
        <v>595</v>
      </c>
      <c r="F194" s="40" t="s">
        <v>596</v>
      </c>
      <c r="G194" s="45" t="n">
        <v>1</v>
      </c>
      <c r="H194" s="39" t="s">
        <v>117</v>
      </c>
      <c r="I194" s="42"/>
      <c r="J194" s="43" t="str">
        <f aca="false">IF(OR(I194="",G194=""),"",G194*I194)</f>
        <v/>
      </c>
      <c r="K194" s="44" t="str">
        <f aca="false">IF(J194="","",J194/'Start Here'!$C$6)</f>
        <v/>
      </c>
      <c r="L194" s="45"/>
      <c r="M194" s="45" t="s">
        <v>66</v>
      </c>
      <c r="N194" s="40" t="s">
        <v>597</v>
      </c>
      <c r="O194" s="46" t="str">
        <f aca="false">IF(B194="","",IF(B194='By Room'!$C$4,COUNTIF($B$5:B194,'By Room'!$C$4),""))</f>
        <v/>
      </c>
    </row>
    <row r="195" customFormat="false" ht="15" hidden="false" customHeight="false" outlineLevel="0" collapsed="false">
      <c r="A195" s="39" t="s">
        <v>598</v>
      </c>
      <c r="B195" s="39" t="s">
        <v>131</v>
      </c>
      <c r="C195" s="39" t="s">
        <v>588</v>
      </c>
      <c r="D195" s="40" t="s">
        <v>599</v>
      </c>
      <c r="E195" s="40" t="s">
        <v>600</v>
      </c>
      <c r="F195" s="40" t="s">
        <v>601</v>
      </c>
      <c r="G195" s="45" t="n">
        <v>2</v>
      </c>
      <c r="H195" s="39" t="s">
        <v>191</v>
      </c>
      <c r="I195" s="42"/>
      <c r="J195" s="43" t="str">
        <f aca="false">IF(OR(I195="",G195=""),"",G195*I195)</f>
        <v/>
      </c>
      <c r="K195" s="44" t="str">
        <f aca="false">IF(J195="","",J195/'Start Here'!$C$6)</f>
        <v/>
      </c>
      <c r="L195" s="45"/>
      <c r="M195" s="45" t="s">
        <v>66</v>
      </c>
      <c r="N195" s="40" t="s">
        <v>602</v>
      </c>
      <c r="O195" s="46" t="str">
        <f aca="false">IF(B195="","",IF(B195='By Room'!$C$4,COUNTIF($B$5:B195,'By Room'!$C$4),""))</f>
        <v/>
      </c>
    </row>
    <row r="196" customFormat="false" ht="15" hidden="false" customHeight="false" outlineLevel="0" collapsed="false">
      <c r="A196" s="39" t="s">
        <v>603</v>
      </c>
      <c r="B196" s="39" t="s">
        <v>131</v>
      </c>
      <c r="C196" s="39" t="s">
        <v>588</v>
      </c>
      <c r="D196" s="40" t="s">
        <v>604</v>
      </c>
      <c r="E196" s="40" t="s">
        <v>605</v>
      </c>
      <c r="F196" s="40" t="s">
        <v>606</v>
      </c>
      <c r="G196" s="45" t="n">
        <v>2</v>
      </c>
      <c r="H196" s="39" t="s">
        <v>117</v>
      </c>
      <c r="I196" s="42"/>
      <c r="J196" s="43" t="str">
        <f aca="false">IF(OR(I196="",G196=""),"",G196*I196)</f>
        <v/>
      </c>
      <c r="K196" s="44" t="str">
        <f aca="false">IF(J196="","",J196/'Start Here'!$C$6)</f>
        <v/>
      </c>
      <c r="L196" s="45"/>
      <c r="M196" s="45" t="s">
        <v>66</v>
      </c>
      <c r="N196" s="40"/>
      <c r="O196" s="46" t="str">
        <f aca="false">IF(B196="","",IF(B196='By Room'!$C$4,COUNTIF($B$5:B196,'By Room'!$C$4),""))</f>
        <v/>
      </c>
    </row>
    <row r="197" customFormat="false" ht="15" hidden="false" customHeight="false" outlineLevel="0" collapsed="false">
      <c r="A197" s="39" t="s">
        <v>607</v>
      </c>
      <c r="B197" s="39" t="s">
        <v>131</v>
      </c>
      <c r="C197" s="39" t="s">
        <v>588</v>
      </c>
      <c r="D197" s="40" t="s">
        <v>608</v>
      </c>
      <c r="E197" s="40"/>
      <c r="F197" s="40" t="s">
        <v>609</v>
      </c>
      <c r="G197" s="45" t="n">
        <v>1</v>
      </c>
      <c r="H197" s="39" t="s">
        <v>191</v>
      </c>
      <c r="I197" s="42"/>
      <c r="J197" s="43" t="str">
        <f aca="false">IF(OR(I197="",G197=""),"",G197*I197)</f>
        <v/>
      </c>
      <c r="K197" s="44" t="str">
        <f aca="false">IF(J197="","",J197/'Start Here'!$C$6)</f>
        <v/>
      </c>
      <c r="L197" s="45"/>
      <c r="M197" s="45" t="s">
        <v>66</v>
      </c>
      <c r="N197" s="40"/>
      <c r="O197" s="46" t="str">
        <f aca="false">IF(B197="","",IF(B197='By Room'!$C$4,COUNTIF($B$5:B197,'By Room'!$C$4),""))</f>
        <v/>
      </c>
    </row>
    <row r="198" customFormat="false" ht="15" hidden="false" customHeight="false" outlineLevel="0" collapsed="false">
      <c r="A198" s="39" t="s">
        <v>610</v>
      </c>
      <c r="B198" s="39" t="s">
        <v>131</v>
      </c>
      <c r="C198" s="39" t="s">
        <v>588</v>
      </c>
      <c r="D198" s="40" t="s">
        <v>611</v>
      </c>
      <c r="E198" s="40" t="s">
        <v>572</v>
      </c>
      <c r="F198" s="40" t="s">
        <v>612</v>
      </c>
      <c r="G198" s="45" t="n">
        <v>1</v>
      </c>
      <c r="H198" s="39" t="s">
        <v>117</v>
      </c>
      <c r="I198" s="42"/>
      <c r="J198" s="43" t="str">
        <f aca="false">IF(OR(I198="",G198=""),"",G198*I198)</f>
        <v/>
      </c>
      <c r="K198" s="44" t="str">
        <f aca="false">IF(J198="","",J198/'Start Here'!$C$6)</f>
        <v/>
      </c>
      <c r="L198" s="45"/>
      <c r="M198" s="45" t="s">
        <v>66</v>
      </c>
      <c r="N198" s="40"/>
      <c r="O198" s="46" t="str">
        <f aca="false">IF(B198="","",IF(B198='By Room'!$C$4,COUNTIF($B$5:B198,'By Room'!$C$4),""))</f>
        <v/>
      </c>
    </row>
    <row r="199" customFormat="false" ht="15" hidden="false" customHeight="false" outlineLevel="0" collapsed="false">
      <c r="A199" s="39" t="s">
        <v>613</v>
      </c>
      <c r="B199" s="39" t="s">
        <v>131</v>
      </c>
      <c r="C199" s="39" t="s">
        <v>588</v>
      </c>
      <c r="D199" s="40" t="s">
        <v>614</v>
      </c>
      <c r="E199" s="40"/>
      <c r="F199" s="40" t="s">
        <v>314</v>
      </c>
      <c r="G199" s="45" t="n">
        <v>1</v>
      </c>
      <c r="H199" s="39" t="s">
        <v>191</v>
      </c>
      <c r="I199" s="42"/>
      <c r="J199" s="43" t="str">
        <f aca="false">IF(OR(I199="",G199=""),"",G199*I199)</f>
        <v/>
      </c>
      <c r="K199" s="44" t="str">
        <f aca="false">IF(J199="","",J199/'Start Here'!$C$6)</f>
        <v/>
      </c>
      <c r="L199" s="45"/>
      <c r="M199" s="45" t="s">
        <v>66</v>
      </c>
      <c r="N199" s="40"/>
      <c r="O199" s="46" t="str">
        <f aca="false">IF(B199="","",IF(B199='By Room'!$C$4,COUNTIF($B$5:B199,'By Room'!$C$4),""))</f>
        <v/>
      </c>
    </row>
    <row r="200" customFormat="false" ht="15" hidden="false" customHeight="false" outlineLevel="0" collapsed="false">
      <c r="A200" s="39" t="s">
        <v>615</v>
      </c>
      <c r="B200" s="39" t="s">
        <v>131</v>
      </c>
      <c r="C200" s="39" t="s">
        <v>588</v>
      </c>
      <c r="D200" s="40" t="s">
        <v>583</v>
      </c>
      <c r="E200" s="40" t="s">
        <v>616</v>
      </c>
      <c r="F200" s="40" t="s">
        <v>617</v>
      </c>
      <c r="G200" s="45" t="n">
        <v>1</v>
      </c>
      <c r="H200" s="39" t="s">
        <v>117</v>
      </c>
      <c r="I200" s="42"/>
      <c r="J200" s="43" t="str">
        <f aca="false">IF(OR(I200="",G200=""),"",G200*I200)</f>
        <v/>
      </c>
      <c r="K200" s="44" t="str">
        <f aca="false">IF(J200="","",J200/'Start Here'!$C$6)</f>
        <v/>
      </c>
      <c r="L200" s="45"/>
      <c r="M200" s="45" t="s">
        <v>66</v>
      </c>
      <c r="N200" s="40"/>
      <c r="O200" s="46" t="str">
        <f aca="false">IF(B200="","",IF(B200='By Room'!$C$4,COUNTIF($B$5:B200,'By Room'!$C$4),""))</f>
        <v/>
      </c>
    </row>
    <row r="201" customFormat="false" ht="15" hidden="false" customHeight="false" outlineLevel="0" collapsed="false">
      <c r="A201" s="39" t="s">
        <v>618</v>
      </c>
      <c r="B201" s="39" t="s">
        <v>131</v>
      </c>
      <c r="C201" s="39" t="s">
        <v>588</v>
      </c>
      <c r="D201" s="40" t="s">
        <v>561</v>
      </c>
      <c r="E201" s="40" t="s">
        <v>562</v>
      </c>
      <c r="F201" s="40" t="s">
        <v>563</v>
      </c>
      <c r="G201" s="45" t="n">
        <v>1</v>
      </c>
      <c r="H201" s="39" t="s">
        <v>191</v>
      </c>
      <c r="I201" s="42"/>
      <c r="J201" s="43" t="str">
        <f aca="false">IF(OR(I201="",G201=""),"",G201*I201)</f>
        <v/>
      </c>
      <c r="K201" s="44" t="str">
        <f aca="false">IF(J201="","",J201/'Start Here'!$C$6)</f>
        <v/>
      </c>
      <c r="L201" s="45"/>
      <c r="M201" s="45" t="s">
        <v>66</v>
      </c>
      <c r="N201" s="40"/>
      <c r="O201" s="46" t="str">
        <f aca="false">IF(B201="","",IF(B201='By Room'!$C$4,COUNTIF($B$5:B201,'By Room'!$C$4),""))</f>
        <v/>
      </c>
    </row>
    <row r="202" customFormat="false" ht="35.05" hidden="false" customHeight="false" outlineLevel="0" collapsed="false">
      <c r="A202" s="39" t="s">
        <v>619</v>
      </c>
      <c r="B202" s="39" t="s">
        <v>136</v>
      </c>
      <c r="C202" s="39" t="s">
        <v>588</v>
      </c>
      <c r="D202" s="40" t="s">
        <v>620</v>
      </c>
      <c r="E202" s="40" t="s">
        <v>621</v>
      </c>
      <c r="F202" s="40" t="s">
        <v>622</v>
      </c>
      <c r="G202" s="45" t="n">
        <v>1</v>
      </c>
      <c r="H202" s="39" t="s">
        <v>191</v>
      </c>
      <c r="I202" s="42"/>
      <c r="J202" s="43" t="str">
        <f aca="false">IF(OR(I202="",G202=""),"",G202*I202)</f>
        <v/>
      </c>
      <c r="K202" s="44" t="str">
        <f aca="false">IF(J202="","",J202/'Start Here'!$C$6)</f>
        <v/>
      </c>
      <c r="L202" s="45"/>
      <c r="M202" s="45" t="s">
        <v>66</v>
      </c>
      <c r="N202" s="40" t="s">
        <v>623</v>
      </c>
      <c r="O202" s="46" t="str">
        <f aca="false">IF(B202="","",IF(B202='By Room'!$C$4,COUNTIF($B$5:B202,'By Room'!$C$4),""))</f>
        <v/>
      </c>
    </row>
    <row r="203" customFormat="false" ht="35.05" hidden="false" customHeight="false" outlineLevel="0" collapsed="false">
      <c r="A203" s="39" t="s">
        <v>624</v>
      </c>
      <c r="B203" s="39" t="s">
        <v>625</v>
      </c>
      <c r="C203" s="39" t="s">
        <v>626</v>
      </c>
      <c r="D203" s="40" t="s">
        <v>627</v>
      </c>
      <c r="E203" s="40" t="s">
        <v>628</v>
      </c>
      <c r="F203" s="40" t="s">
        <v>629</v>
      </c>
      <c r="G203" s="45" t="n">
        <v>1</v>
      </c>
      <c r="H203" s="39" t="s">
        <v>191</v>
      </c>
      <c r="I203" s="42"/>
      <c r="J203" s="43" t="str">
        <f aca="false">IF(OR(I203="",G203=""),"",G203*I203)</f>
        <v/>
      </c>
      <c r="K203" s="44" t="str">
        <f aca="false">IF(J203="","",J203/'Start Here'!$C$6)</f>
        <v/>
      </c>
      <c r="L203" s="45"/>
      <c r="M203" s="45" t="s">
        <v>66</v>
      </c>
      <c r="N203" s="40" t="s">
        <v>630</v>
      </c>
      <c r="O203" s="46" t="str">
        <f aca="false">IF(B203="","",IF(B203='By Room'!$C$4,COUNTIF($B$5:B203,'By Room'!$C$4),""))</f>
        <v/>
      </c>
    </row>
    <row r="204" customFormat="false" ht="15" hidden="false" customHeight="false" outlineLevel="0" collapsed="false">
      <c r="A204" s="39" t="s">
        <v>631</v>
      </c>
      <c r="B204" s="39" t="s">
        <v>625</v>
      </c>
      <c r="C204" s="39" t="s">
        <v>626</v>
      </c>
      <c r="D204" s="40" t="s">
        <v>632</v>
      </c>
      <c r="E204" s="40" t="s">
        <v>633</v>
      </c>
      <c r="F204" s="40" t="s">
        <v>634</v>
      </c>
      <c r="G204" s="45" t="n">
        <v>1</v>
      </c>
      <c r="H204" s="39" t="s">
        <v>117</v>
      </c>
      <c r="I204" s="42"/>
      <c r="J204" s="43" t="str">
        <f aca="false">IF(OR(I204="",G204=""),"",G204*I204)</f>
        <v/>
      </c>
      <c r="K204" s="44" t="str">
        <f aca="false">IF(J204="","",J204/'Start Here'!$C$6)</f>
        <v/>
      </c>
      <c r="L204" s="45"/>
      <c r="M204" s="45" t="s">
        <v>66</v>
      </c>
      <c r="N204" s="40"/>
      <c r="O204" s="46" t="str">
        <f aca="false">IF(B204="","",IF(B204='By Room'!$C$4,COUNTIF($B$5:B204,'By Room'!$C$4),""))</f>
        <v/>
      </c>
    </row>
    <row r="205" customFormat="false" ht="15" hidden="false" customHeight="false" outlineLevel="0" collapsed="false">
      <c r="A205" s="39" t="s">
        <v>635</v>
      </c>
      <c r="B205" s="39" t="s">
        <v>625</v>
      </c>
      <c r="C205" s="39" t="s">
        <v>626</v>
      </c>
      <c r="D205" s="40" t="s">
        <v>636</v>
      </c>
      <c r="E205" s="40" t="s">
        <v>637</v>
      </c>
      <c r="F205" s="40" t="s">
        <v>638</v>
      </c>
      <c r="G205" s="45" t="n">
        <v>1</v>
      </c>
      <c r="H205" s="39" t="s">
        <v>191</v>
      </c>
      <c r="I205" s="42"/>
      <c r="J205" s="43" t="str">
        <f aca="false">IF(OR(I205="",G205=""),"",G205*I205)</f>
        <v/>
      </c>
      <c r="K205" s="44" t="str">
        <f aca="false">IF(J205="","",J205/'Start Here'!$C$6)</f>
        <v/>
      </c>
      <c r="L205" s="45"/>
      <c r="M205" s="45" t="s">
        <v>66</v>
      </c>
      <c r="N205" s="40"/>
      <c r="O205" s="46" t="str">
        <f aca="false">IF(B205="","",IF(B205='By Room'!$C$4,COUNTIF($B$5:B205,'By Room'!$C$4),""))</f>
        <v/>
      </c>
    </row>
    <row r="206" customFormat="false" ht="15" hidden="false" customHeight="false" outlineLevel="0" collapsed="false">
      <c r="A206" s="39" t="s">
        <v>639</v>
      </c>
      <c r="B206" s="39" t="s">
        <v>625</v>
      </c>
      <c r="C206" s="39" t="s">
        <v>626</v>
      </c>
      <c r="D206" s="40" t="s">
        <v>640</v>
      </c>
      <c r="E206" s="40" t="s">
        <v>641</v>
      </c>
      <c r="F206" s="40" t="s">
        <v>449</v>
      </c>
      <c r="G206" s="45" t="n">
        <v>1</v>
      </c>
      <c r="H206" s="39" t="s">
        <v>191</v>
      </c>
      <c r="I206" s="42"/>
      <c r="J206" s="43" t="str">
        <f aca="false">IF(OR(I206="",G206=""),"",G206*I206)</f>
        <v/>
      </c>
      <c r="K206" s="44" t="str">
        <f aca="false">IF(J206="","",J206/'Start Here'!$C$6)</f>
        <v/>
      </c>
      <c r="L206" s="45"/>
      <c r="M206" s="45" t="s">
        <v>66</v>
      </c>
      <c r="N206" s="40"/>
      <c r="O206" s="46" t="str">
        <f aca="false">IF(B206="","",IF(B206='By Room'!$C$4,COUNTIF($B$5:B206,'By Room'!$C$4),""))</f>
        <v/>
      </c>
    </row>
    <row r="207" customFormat="false" ht="15" hidden="false" customHeight="false" outlineLevel="0" collapsed="false">
      <c r="A207" s="39" t="s">
        <v>642</v>
      </c>
      <c r="B207" s="39" t="s">
        <v>625</v>
      </c>
      <c r="C207" s="39" t="s">
        <v>626</v>
      </c>
      <c r="D207" s="40" t="s">
        <v>643</v>
      </c>
      <c r="E207" s="40" t="s">
        <v>644</v>
      </c>
      <c r="F207" s="40" t="s">
        <v>645</v>
      </c>
      <c r="G207" s="45" t="n">
        <v>1</v>
      </c>
      <c r="H207" s="39" t="s">
        <v>191</v>
      </c>
      <c r="I207" s="42"/>
      <c r="J207" s="43" t="str">
        <f aca="false">IF(OR(I207="",G207=""),"",G207*I207)</f>
        <v/>
      </c>
      <c r="K207" s="44" t="str">
        <f aca="false">IF(J207="","",J207/'Start Here'!$C$6)</f>
        <v/>
      </c>
      <c r="L207" s="45"/>
      <c r="M207" s="45" t="s">
        <v>66</v>
      </c>
      <c r="N207" s="40" t="s">
        <v>646</v>
      </c>
      <c r="O207" s="46" t="str">
        <f aca="false">IF(B207="","",IF(B207='By Room'!$C$4,COUNTIF($B$5:B207,'By Room'!$C$4),""))</f>
        <v/>
      </c>
    </row>
    <row r="208" customFormat="false" ht="15" hidden="false" customHeight="false" outlineLevel="0" collapsed="false">
      <c r="A208" s="39" t="s">
        <v>647</v>
      </c>
      <c r="B208" s="39" t="s">
        <v>625</v>
      </c>
      <c r="C208" s="39" t="s">
        <v>626</v>
      </c>
      <c r="D208" s="40" t="s">
        <v>648</v>
      </c>
      <c r="E208" s="40" t="s">
        <v>649</v>
      </c>
      <c r="F208" s="40" t="s">
        <v>650</v>
      </c>
      <c r="G208" s="45" t="n">
        <v>1</v>
      </c>
      <c r="H208" s="39" t="s">
        <v>117</v>
      </c>
      <c r="I208" s="42"/>
      <c r="J208" s="43" t="str">
        <f aca="false">IF(OR(I208="",G208=""),"",G208*I208)</f>
        <v/>
      </c>
      <c r="K208" s="44" t="str">
        <f aca="false">IF(J208="","",J208/'Start Here'!$C$6)</f>
        <v/>
      </c>
      <c r="L208" s="45"/>
      <c r="M208" s="45" t="s">
        <v>66</v>
      </c>
      <c r="N208" s="40"/>
      <c r="O208" s="46" t="str">
        <f aca="false">IF(B208="","",IF(B208='By Room'!$C$4,COUNTIF($B$5:B208,'By Room'!$C$4),""))</f>
        <v/>
      </c>
    </row>
    <row r="209" customFormat="false" ht="15" hidden="false" customHeight="false" outlineLevel="0" collapsed="false">
      <c r="A209" s="39" t="s">
        <v>651</v>
      </c>
      <c r="B209" s="39" t="s">
        <v>625</v>
      </c>
      <c r="C209" s="39" t="s">
        <v>626</v>
      </c>
      <c r="D209" s="40" t="s">
        <v>652</v>
      </c>
      <c r="E209" s="40" t="s">
        <v>653</v>
      </c>
      <c r="F209" s="40" t="s">
        <v>654</v>
      </c>
      <c r="G209" s="45" t="n">
        <v>1</v>
      </c>
      <c r="H209" s="39" t="s">
        <v>191</v>
      </c>
      <c r="I209" s="42"/>
      <c r="J209" s="43" t="str">
        <f aca="false">IF(OR(I209="",G209=""),"",G209*I209)</f>
        <v/>
      </c>
      <c r="K209" s="44" t="str">
        <f aca="false">IF(J209="","",J209/'Start Here'!$C$6)</f>
        <v/>
      </c>
      <c r="L209" s="45"/>
      <c r="M209" s="45" t="s">
        <v>66</v>
      </c>
      <c r="N209" s="40" t="s">
        <v>655</v>
      </c>
      <c r="O209" s="46" t="str">
        <f aca="false">IF(B209="","",IF(B209='By Room'!$C$4,COUNTIF($B$5:B209,'By Room'!$C$4),""))</f>
        <v/>
      </c>
    </row>
    <row r="210" customFormat="false" ht="15" hidden="false" customHeight="false" outlineLevel="0" collapsed="false">
      <c r="A210" s="39" t="s">
        <v>656</v>
      </c>
      <c r="B210" s="39" t="s">
        <v>625</v>
      </c>
      <c r="C210" s="39" t="s">
        <v>626</v>
      </c>
      <c r="D210" s="40" t="s">
        <v>657</v>
      </c>
      <c r="E210" s="40" t="s">
        <v>658</v>
      </c>
      <c r="F210" s="40" t="s">
        <v>659</v>
      </c>
      <c r="G210" s="45" t="n">
        <v>1</v>
      </c>
      <c r="H210" s="39" t="s">
        <v>117</v>
      </c>
      <c r="I210" s="42"/>
      <c r="J210" s="43" t="str">
        <f aca="false">IF(OR(I210="",G210=""),"",G210*I210)</f>
        <v/>
      </c>
      <c r="K210" s="44" t="str">
        <f aca="false">IF(J210="","",J210/'Start Here'!$C$6)</f>
        <v/>
      </c>
      <c r="L210" s="45"/>
      <c r="M210" s="45" t="s">
        <v>66</v>
      </c>
      <c r="N210" s="40"/>
      <c r="O210" s="46" t="str">
        <f aca="false">IF(B210="","",IF(B210='By Room'!$C$4,COUNTIF($B$5:B210,'By Room'!$C$4),""))</f>
        <v/>
      </c>
    </row>
    <row r="211" customFormat="false" ht="23.85" hidden="false" customHeight="false" outlineLevel="0" collapsed="false">
      <c r="A211" s="39" t="s">
        <v>660</v>
      </c>
      <c r="B211" s="39" t="s">
        <v>625</v>
      </c>
      <c r="C211" s="39" t="s">
        <v>626</v>
      </c>
      <c r="D211" s="40" t="s">
        <v>661</v>
      </c>
      <c r="E211" s="40" t="s">
        <v>662</v>
      </c>
      <c r="F211" s="40" t="s">
        <v>449</v>
      </c>
      <c r="G211" s="45" t="n">
        <v>1</v>
      </c>
      <c r="H211" s="39" t="s">
        <v>191</v>
      </c>
      <c r="I211" s="42"/>
      <c r="J211" s="43" t="str">
        <f aca="false">IF(OR(I211="",G211=""),"",G211*I211)</f>
        <v/>
      </c>
      <c r="K211" s="44" t="str">
        <f aca="false">IF(J211="","",J211/'Start Here'!$C$6)</f>
        <v/>
      </c>
      <c r="L211" s="45"/>
      <c r="M211" s="45" t="s">
        <v>66</v>
      </c>
      <c r="N211" s="40"/>
      <c r="O211" s="46" t="str">
        <f aca="false">IF(B211="","",IF(B211='By Room'!$C$4,COUNTIF($B$5:B211,'By Room'!$C$4),""))</f>
        <v/>
      </c>
    </row>
    <row r="212" customFormat="false" ht="15" hidden="false" customHeight="false" outlineLevel="0" collapsed="false">
      <c r="A212" s="39" t="s">
        <v>663</v>
      </c>
      <c r="B212" s="39" t="s">
        <v>180</v>
      </c>
      <c r="C212" s="39" t="s">
        <v>664</v>
      </c>
      <c r="D212" s="40" t="s">
        <v>665</v>
      </c>
      <c r="E212" s="40" t="s">
        <v>666</v>
      </c>
      <c r="F212" s="40" t="s">
        <v>667</v>
      </c>
      <c r="G212" s="45" t="n">
        <v>6000</v>
      </c>
      <c r="H212" s="39" t="s">
        <v>117</v>
      </c>
      <c r="I212" s="42"/>
      <c r="J212" s="43" t="str">
        <f aca="false">IF(OR(I212="",G212=""),"",G212*I212)</f>
        <v/>
      </c>
      <c r="K212" s="44" t="str">
        <f aca="false">IF(J212="","",J212/'Start Here'!$C$6)</f>
        <v/>
      </c>
      <c r="L212" s="45"/>
      <c r="M212" s="45" t="s">
        <v>66</v>
      </c>
      <c r="N212" s="40" t="s">
        <v>668</v>
      </c>
      <c r="O212" s="46" t="str">
        <f aca="false">IF(B212="","",IF(B212='By Room'!$C$4,COUNTIF($B$5:B212,'By Room'!$C$4),""))</f>
        <v/>
      </c>
    </row>
    <row r="213" customFormat="false" ht="15" hidden="false" customHeight="false" outlineLevel="0" collapsed="false">
      <c r="A213" s="39" t="s">
        <v>669</v>
      </c>
      <c r="B213" s="39" t="s">
        <v>180</v>
      </c>
      <c r="C213" s="39" t="s">
        <v>664</v>
      </c>
      <c r="D213" s="40" t="s">
        <v>670</v>
      </c>
      <c r="E213" s="40" t="s">
        <v>671</v>
      </c>
      <c r="F213" s="40" t="s">
        <v>672</v>
      </c>
      <c r="G213" s="45" t="n">
        <v>80</v>
      </c>
      <c r="H213" s="39" t="s">
        <v>117</v>
      </c>
      <c r="I213" s="42"/>
      <c r="J213" s="43" t="str">
        <f aca="false">IF(OR(I213="",G213=""),"",G213*I213)</f>
        <v/>
      </c>
      <c r="K213" s="44" t="str">
        <f aca="false">IF(J213="","",J213/'Start Here'!$C$6)</f>
        <v/>
      </c>
      <c r="L213" s="45"/>
      <c r="M213" s="45" t="s">
        <v>66</v>
      </c>
      <c r="N213" s="40"/>
      <c r="O213" s="46" t="str">
        <f aca="false">IF(B213="","",IF(B213='By Room'!$C$4,COUNTIF($B$5:B213,'By Room'!$C$4),""))</f>
        <v/>
      </c>
    </row>
    <row r="214" customFormat="false" ht="15" hidden="false" customHeight="false" outlineLevel="0" collapsed="false">
      <c r="A214" s="39" t="s">
        <v>673</v>
      </c>
      <c r="B214" s="39" t="s">
        <v>180</v>
      </c>
      <c r="C214" s="39" t="s">
        <v>664</v>
      </c>
      <c r="D214" s="40" t="s">
        <v>674</v>
      </c>
      <c r="E214" s="40" t="s">
        <v>675</v>
      </c>
      <c r="F214" s="40" t="s">
        <v>449</v>
      </c>
      <c r="G214" s="45" t="n">
        <v>1</v>
      </c>
      <c r="H214" s="39" t="s">
        <v>191</v>
      </c>
      <c r="I214" s="42"/>
      <c r="J214" s="43" t="str">
        <f aca="false">IF(OR(I214="",G214=""),"",G214*I214)</f>
        <v/>
      </c>
      <c r="K214" s="44" t="str">
        <f aca="false">IF(J214="","",J214/'Start Here'!$C$6)</f>
        <v/>
      </c>
      <c r="L214" s="45"/>
      <c r="M214" s="45" t="s">
        <v>66</v>
      </c>
      <c r="N214" s="40" t="s">
        <v>676</v>
      </c>
      <c r="O214" s="46" t="str">
        <f aca="false">IF(B214="","",IF(B214='By Room'!$C$4,COUNTIF($B$5:B214,'By Room'!$C$4),""))</f>
        <v/>
      </c>
    </row>
    <row r="215" customFormat="false" ht="15" hidden="false" customHeight="false" outlineLevel="0" collapsed="false">
      <c r="A215" s="39" t="s">
        <v>677</v>
      </c>
      <c r="B215" s="39" t="s">
        <v>180</v>
      </c>
      <c r="C215" s="39" t="s">
        <v>664</v>
      </c>
      <c r="D215" s="40" t="s">
        <v>678</v>
      </c>
      <c r="E215" s="40" t="s">
        <v>679</v>
      </c>
      <c r="F215" s="40" t="s">
        <v>449</v>
      </c>
      <c r="G215" s="45" t="n">
        <v>1</v>
      </c>
      <c r="H215" s="39" t="s">
        <v>191</v>
      </c>
      <c r="I215" s="42"/>
      <c r="J215" s="43" t="str">
        <f aca="false">IF(OR(I215="",G215=""),"",G215*I215)</f>
        <v/>
      </c>
      <c r="K215" s="44" t="str">
        <f aca="false">IF(J215="","",J215/'Start Here'!$C$6)</f>
        <v/>
      </c>
      <c r="L215" s="45"/>
      <c r="M215" s="45" t="s">
        <v>66</v>
      </c>
      <c r="N215" s="40" t="s">
        <v>680</v>
      </c>
      <c r="O215" s="46" t="str">
        <f aca="false">IF(B215="","",IF(B215='By Room'!$C$4,COUNTIF($B$5:B215,'By Room'!$C$4),""))</f>
        <v/>
      </c>
    </row>
    <row r="216" customFormat="false" ht="15" hidden="false" customHeight="false" outlineLevel="0" collapsed="false">
      <c r="A216" s="39" t="s">
        <v>681</v>
      </c>
      <c r="B216" s="39" t="s">
        <v>180</v>
      </c>
      <c r="C216" s="39" t="s">
        <v>664</v>
      </c>
      <c r="D216" s="40" t="s">
        <v>682</v>
      </c>
      <c r="E216" s="40" t="s">
        <v>683</v>
      </c>
      <c r="F216" s="40" t="s">
        <v>449</v>
      </c>
      <c r="G216" s="45" t="n">
        <v>1</v>
      </c>
      <c r="H216" s="39" t="s">
        <v>191</v>
      </c>
      <c r="I216" s="42"/>
      <c r="J216" s="43" t="str">
        <f aca="false">IF(OR(I216="",G216=""),"",G216*I216)</f>
        <v/>
      </c>
      <c r="K216" s="44" t="str">
        <f aca="false">IF(J216="","",J216/'Start Here'!$C$6)</f>
        <v/>
      </c>
      <c r="L216" s="45"/>
      <c r="M216" s="45" t="s">
        <v>66</v>
      </c>
      <c r="N216" s="40"/>
      <c r="O216" s="46" t="str">
        <f aca="false">IF(B216="","",IF(B216='By Room'!$C$4,COUNTIF($B$5:B216,'By Room'!$C$4),""))</f>
        <v/>
      </c>
    </row>
    <row r="217" customFormat="false" ht="15" hidden="false" customHeight="false" outlineLevel="0" collapsed="false">
      <c r="A217" s="39"/>
      <c r="B217" s="39"/>
      <c r="C217" s="39"/>
      <c r="D217" s="40"/>
      <c r="E217" s="40"/>
      <c r="F217" s="40"/>
      <c r="G217" s="45"/>
      <c r="H217" s="39"/>
      <c r="I217" s="42"/>
      <c r="J217" s="43" t="str">
        <f aca="false">IF(OR(I217="",G217=""),"",G217*I217)</f>
        <v/>
      </c>
      <c r="K217" s="44" t="str">
        <f aca="false">IF(J217="","",J217/'Start Here'!$C$6)</f>
        <v/>
      </c>
      <c r="L217" s="45"/>
      <c r="M217" s="45"/>
      <c r="N217" s="40"/>
      <c r="O217" s="46" t="str">
        <f aca="false">IF(B217="","",IF(B217='By Room'!$C$4,COUNTIF($B$5:B217,'By Room'!$C$4),""))</f>
        <v/>
      </c>
    </row>
    <row r="218" customFormat="false" ht="15" hidden="false" customHeight="false" outlineLevel="0" collapsed="false">
      <c r="A218" s="39"/>
      <c r="B218" s="39"/>
      <c r="C218" s="39"/>
      <c r="D218" s="40"/>
      <c r="E218" s="40"/>
      <c r="F218" s="40"/>
      <c r="G218" s="45"/>
      <c r="H218" s="39"/>
      <c r="I218" s="42"/>
      <c r="J218" s="43" t="str">
        <f aca="false">IF(OR(I218="",G218=""),"",G218*I218)</f>
        <v/>
      </c>
      <c r="K218" s="44" t="str">
        <f aca="false">IF(J218="","",J218/'Start Here'!$C$6)</f>
        <v/>
      </c>
      <c r="L218" s="45"/>
      <c r="M218" s="45"/>
      <c r="N218" s="40"/>
      <c r="O218" s="46" t="str">
        <f aca="false">IF(B218="","",IF(B218='By Room'!$C$4,COUNTIF($B$5:B218,'By Room'!$C$4),""))</f>
        <v/>
      </c>
    </row>
    <row r="219" customFormat="false" ht="15" hidden="false" customHeight="false" outlineLevel="0" collapsed="false">
      <c r="A219" s="39"/>
      <c r="B219" s="39"/>
      <c r="C219" s="39"/>
      <c r="D219" s="40"/>
      <c r="E219" s="40"/>
      <c r="F219" s="40"/>
      <c r="G219" s="45"/>
      <c r="H219" s="39"/>
      <c r="I219" s="42"/>
      <c r="J219" s="43" t="str">
        <f aca="false">IF(OR(I219="",G219=""),"",G219*I219)</f>
        <v/>
      </c>
      <c r="K219" s="44" t="str">
        <f aca="false">IF(J219="","",J219/'Start Here'!$C$6)</f>
        <v/>
      </c>
      <c r="L219" s="45"/>
      <c r="M219" s="45"/>
      <c r="N219" s="40"/>
      <c r="O219" s="46" t="str">
        <f aca="false">IF(B219="","",IF(B219='By Room'!$C$4,COUNTIF($B$5:B219,'By Room'!$C$4),""))</f>
        <v/>
      </c>
    </row>
    <row r="220" customFormat="false" ht="15" hidden="false" customHeight="false" outlineLevel="0" collapsed="false">
      <c r="A220" s="39"/>
      <c r="B220" s="39"/>
      <c r="C220" s="39"/>
      <c r="D220" s="40"/>
      <c r="E220" s="40"/>
      <c r="F220" s="40"/>
      <c r="G220" s="45"/>
      <c r="H220" s="39"/>
      <c r="I220" s="42"/>
      <c r="J220" s="43" t="str">
        <f aca="false">IF(OR(I220="",G220=""),"",G220*I220)</f>
        <v/>
      </c>
      <c r="K220" s="44" t="str">
        <f aca="false">IF(J220="","",J220/'Start Here'!$C$6)</f>
        <v/>
      </c>
      <c r="L220" s="45"/>
      <c r="M220" s="45"/>
      <c r="N220" s="40"/>
      <c r="O220" s="46" t="str">
        <f aca="false">IF(B220="","",IF(B220='By Room'!$C$4,COUNTIF($B$5:B220,'By Room'!$C$4),""))</f>
        <v/>
      </c>
    </row>
    <row r="221" customFormat="false" ht="15" hidden="false" customHeight="false" outlineLevel="0" collapsed="false">
      <c r="A221" s="39"/>
      <c r="B221" s="39"/>
      <c r="C221" s="39"/>
      <c r="D221" s="40"/>
      <c r="E221" s="40"/>
      <c r="F221" s="40"/>
      <c r="G221" s="45"/>
      <c r="H221" s="39"/>
      <c r="I221" s="42"/>
      <c r="J221" s="43" t="str">
        <f aca="false">IF(OR(I221="",G221=""),"",G221*I221)</f>
        <v/>
      </c>
      <c r="K221" s="44" t="str">
        <f aca="false">IF(J221="","",J221/'Start Here'!$C$6)</f>
        <v/>
      </c>
      <c r="L221" s="45"/>
      <c r="M221" s="45"/>
      <c r="N221" s="40"/>
      <c r="O221" s="46" t="str">
        <f aca="false">IF(B221="","",IF(B221='By Room'!$C$4,COUNTIF($B$5:B221,'By Room'!$C$4),""))</f>
        <v/>
      </c>
    </row>
    <row r="222" customFormat="false" ht="15" hidden="false" customHeight="false" outlineLevel="0" collapsed="false">
      <c r="A222" s="39"/>
      <c r="B222" s="39"/>
      <c r="C222" s="39"/>
      <c r="D222" s="40"/>
      <c r="E222" s="40"/>
      <c r="F222" s="40"/>
      <c r="G222" s="45"/>
      <c r="H222" s="39"/>
      <c r="I222" s="42"/>
      <c r="J222" s="43" t="str">
        <f aca="false">IF(OR(I222="",G222=""),"",G222*I222)</f>
        <v/>
      </c>
      <c r="K222" s="44" t="str">
        <f aca="false">IF(J222="","",J222/'Start Here'!$C$6)</f>
        <v/>
      </c>
      <c r="L222" s="45"/>
      <c r="M222" s="45"/>
      <c r="N222" s="40"/>
      <c r="O222" s="46" t="str">
        <f aca="false">IF(B222="","",IF(B222='By Room'!$C$4,COUNTIF($B$5:B222,'By Room'!$C$4),""))</f>
        <v/>
      </c>
    </row>
    <row r="223" customFormat="false" ht="15" hidden="false" customHeight="false" outlineLevel="0" collapsed="false">
      <c r="A223" s="39"/>
      <c r="B223" s="39"/>
      <c r="C223" s="39"/>
      <c r="D223" s="40"/>
      <c r="E223" s="40"/>
      <c r="F223" s="40"/>
      <c r="G223" s="45"/>
      <c r="H223" s="39"/>
      <c r="I223" s="42"/>
      <c r="J223" s="43" t="str">
        <f aca="false">IF(OR(I223="",G223=""),"",G223*I223)</f>
        <v/>
      </c>
      <c r="K223" s="44" t="str">
        <f aca="false">IF(J223="","",J223/'Start Here'!$C$6)</f>
        <v/>
      </c>
      <c r="L223" s="45"/>
      <c r="M223" s="45"/>
      <c r="N223" s="40"/>
      <c r="O223" s="46" t="str">
        <f aca="false">IF(B223="","",IF(B223='By Room'!$C$4,COUNTIF($B$5:B223,'By Room'!$C$4),""))</f>
        <v/>
      </c>
    </row>
    <row r="224" customFormat="false" ht="15" hidden="false" customHeight="false" outlineLevel="0" collapsed="false">
      <c r="A224" s="39"/>
      <c r="B224" s="39"/>
      <c r="C224" s="39"/>
      <c r="D224" s="40"/>
      <c r="E224" s="40"/>
      <c r="F224" s="40"/>
      <c r="G224" s="45"/>
      <c r="H224" s="39"/>
      <c r="I224" s="42"/>
      <c r="J224" s="43" t="str">
        <f aca="false">IF(OR(I224="",G224=""),"",G224*I224)</f>
        <v/>
      </c>
      <c r="K224" s="44" t="str">
        <f aca="false">IF(J224="","",J224/'Start Here'!$C$6)</f>
        <v/>
      </c>
      <c r="L224" s="45"/>
      <c r="M224" s="45"/>
      <c r="N224" s="40"/>
      <c r="O224" s="46" t="str">
        <f aca="false">IF(B224="","",IF(B224='By Room'!$C$4,COUNTIF($B$5:B224,'By Room'!$C$4),""))</f>
        <v/>
      </c>
    </row>
    <row r="225" customFormat="false" ht="15" hidden="false" customHeight="false" outlineLevel="0" collapsed="false">
      <c r="A225" s="39"/>
      <c r="B225" s="39"/>
      <c r="C225" s="39"/>
      <c r="D225" s="40"/>
      <c r="E225" s="40"/>
      <c r="F225" s="40"/>
      <c r="G225" s="45"/>
      <c r="H225" s="39"/>
      <c r="I225" s="42"/>
      <c r="J225" s="43" t="str">
        <f aca="false">IF(OR(I225="",G225=""),"",G225*I225)</f>
        <v/>
      </c>
      <c r="K225" s="44" t="str">
        <f aca="false">IF(J225="","",J225/'Start Here'!$C$6)</f>
        <v/>
      </c>
      <c r="L225" s="45"/>
      <c r="M225" s="45"/>
      <c r="N225" s="40"/>
      <c r="O225" s="46" t="str">
        <f aca="false">IF(B225="","",IF(B225='By Room'!$C$4,COUNTIF($B$5:B225,'By Room'!$C$4),""))</f>
        <v/>
      </c>
    </row>
    <row r="226" customFormat="false" ht="15" hidden="false" customHeight="false" outlineLevel="0" collapsed="false">
      <c r="A226" s="39"/>
      <c r="B226" s="39"/>
      <c r="C226" s="39"/>
      <c r="D226" s="40"/>
      <c r="E226" s="40"/>
      <c r="F226" s="40"/>
      <c r="G226" s="45"/>
      <c r="H226" s="39"/>
      <c r="I226" s="42"/>
      <c r="J226" s="43" t="str">
        <f aca="false">IF(OR(I226="",G226=""),"",G226*I226)</f>
        <v/>
      </c>
      <c r="K226" s="44" t="str">
        <f aca="false">IF(J226="","",J226/'Start Here'!$C$6)</f>
        <v/>
      </c>
      <c r="L226" s="45"/>
      <c r="M226" s="45"/>
      <c r="N226" s="40"/>
      <c r="O226" s="46" t="str">
        <f aca="false">IF(B226="","",IF(B226='By Room'!$C$4,COUNTIF($B$5:B226,'By Room'!$C$4),""))</f>
        <v/>
      </c>
    </row>
    <row r="227" customFormat="false" ht="15" hidden="false" customHeight="false" outlineLevel="0" collapsed="false">
      <c r="A227" s="39"/>
      <c r="B227" s="39"/>
      <c r="C227" s="39"/>
      <c r="D227" s="40"/>
      <c r="E227" s="40"/>
      <c r="F227" s="40"/>
      <c r="G227" s="45"/>
      <c r="H227" s="39"/>
      <c r="I227" s="42"/>
      <c r="J227" s="43" t="str">
        <f aca="false">IF(OR(I227="",G227=""),"",G227*I227)</f>
        <v/>
      </c>
      <c r="K227" s="44" t="str">
        <f aca="false">IF(J227="","",J227/'Start Here'!$C$6)</f>
        <v/>
      </c>
      <c r="L227" s="45"/>
      <c r="M227" s="45"/>
      <c r="N227" s="40"/>
      <c r="O227" s="46" t="str">
        <f aca="false">IF(B227="","",IF(B227='By Room'!$C$4,COUNTIF($B$5:B227,'By Room'!$C$4),""))</f>
        <v/>
      </c>
    </row>
    <row r="228" customFormat="false" ht="15" hidden="false" customHeight="false" outlineLevel="0" collapsed="false">
      <c r="A228" s="39"/>
      <c r="B228" s="39"/>
      <c r="C228" s="39"/>
      <c r="D228" s="40"/>
      <c r="E228" s="40"/>
      <c r="F228" s="40"/>
      <c r="G228" s="45"/>
      <c r="H228" s="39"/>
      <c r="I228" s="42"/>
      <c r="J228" s="43" t="str">
        <f aca="false">IF(OR(I228="",G228=""),"",G228*I228)</f>
        <v/>
      </c>
      <c r="K228" s="44" t="str">
        <f aca="false">IF(J228="","",J228/'Start Here'!$C$6)</f>
        <v/>
      </c>
      <c r="L228" s="45"/>
      <c r="M228" s="45"/>
      <c r="N228" s="40"/>
      <c r="O228" s="46" t="str">
        <f aca="false">IF(B228="","",IF(B228='By Room'!$C$4,COUNTIF($B$5:B228,'By Room'!$C$4),""))</f>
        <v/>
      </c>
    </row>
    <row r="229" customFormat="false" ht="15" hidden="false" customHeight="false" outlineLevel="0" collapsed="false">
      <c r="A229" s="39"/>
      <c r="B229" s="39"/>
      <c r="C229" s="39"/>
      <c r="D229" s="40"/>
      <c r="E229" s="40"/>
      <c r="F229" s="40"/>
      <c r="G229" s="45"/>
      <c r="H229" s="39"/>
      <c r="I229" s="42"/>
      <c r="J229" s="43" t="str">
        <f aca="false">IF(OR(I229="",G229=""),"",G229*I229)</f>
        <v/>
      </c>
      <c r="K229" s="44" t="str">
        <f aca="false">IF(J229="","",J229/'Start Here'!$C$6)</f>
        <v/>
      </c>
      <c r="L229" s="45"/>
      <c r="M229" s="45"/>
      <c r="N229" s="40"/>
      <c r="O229" s="46" t="str">
        <f aca="false">IF(B229="","",IF(B229='By Room'!$C$4,COUNTIF($B$5:B229,'By Room'!$C$4),""))</f>
        <v/>
      </c>
    </row>
    <row r="230" customFormat="false" ht="15" hidden="false" customHeight="false" outlineLevel="0" collapsed="false">
      <c r="A230" s="39"/>
      <c r="B230" s="39"/>
      <c r="C230" s="39"/>
      <c r="D230" s="40"/>
      <c r="E230" s="40"/>
      <c r="F230" s="40"/>
      <c r="G230" s="45"/>
      <c r="H230" s="39"/>
      <c r="I230" s="42"/>
      <c r="J230" s="43" t="str">
        <f aca="false">IF(OR(I230="",G230=""),"",G230*I230)</f>
        <v/>
      </c>
      <c r="K230" s="44" t="str">
        <f aca="false">IF(J230="","",J230/'Start Here'!$C$6)</f>
        <v/>
      </c>
      <c r="L230" s="45"/>
      <c r="M230" s="45"/>
      <c r="N230" s="40"/>
      <c r="O230" s="46" t="str">
        <f aca="false">IF(B230="","",IF(B230='By Room'!$C$4,COUNTIF($B$5:B230,'By Room'!$C$4),""))</f>
        <v/>
      </c>
    </row>
    <row r="231" customFormat="false" ht="15" hidden="false" customHeight="false" outlineLevel="0" collapsed="false">
      <c r="A231" s="39"/>
      <c r="B231" s="39"/>
      <c r="C231" s="39"/>
      <c r="D231" s="40"/>
      <c r="E231" s="40"/>
      <c r="F231" s="40"/>
      <c r="G231" s="45"/>
      <c r="H231" s="39"/>
      <c r="I231" s="42"/>
      <c r="J231" s="43" t="str">
        <f aca="false">IF(OR(I231="",G231=""),"",G231*I231)</f>
        <v/>
      </c>
      <c r="K231" s="44" t="str">
        <f aca="false">IF(J231="","",J231/'Start Here'!$C$6)</f>
        <v/>
      </c>
      <c r="L231" s="45"/>
      <c r="M231" s="45"/>
      <c r="N231" s="40"/>
      <c r="O231" s="46" t="str">
        <f aca="false">IF(B231="","",IF(B231='By Room'!$C$4,COUNTIF($B$5:B231,'By Room'!$C$4),""))</f>
        <v/>
      </c>
    </row>
    <row r="232" customFormat="false" ht="15" hidden="false" customHeight="false" outlineLevel="0" collapsed="false">
      <c r="A232" s="39"/>
      <c r="B232" s="39"/>
      <c r="C232" s="39"/>
      <c r="D232" s="40"/>
      <c r="E232" s="40"/>
      <c r="F232" s="40"/>
      <c r="G232" s="45"/>
      <c r="H232" s="39"/>
      <c r="I232" s="42"/>
      <c r="J232" s="43" t="str">
        <f aca="false">IF(OR(I232="",G232=""),"",G232*I232)</f>
        <v/>
      </c>
      <c r="K232" s="44" t="str">
        <f aca="false">IF(J232="","",J232/'Start Here'!$C$6)</f>
        <v/>
      </c>
      <c r="L232" s="45"/>
      <c r="M232" s="45"/>
      <c r="N232" s="40"/>
      <c r="O232" s="46" t="str">
        <f aca="false">IF(B232="","",IF(B232='By Room'!$C$4,COUNTIF($B$5:B232,'By Room'!$C$4),""))</f>
        <v/>
      </c>
    </row>
    <row r="233" customFormat="false" ht="15" hidden="false" customHeight="false" outlineLevel="0" collapsed="false">
      <c r="A233" s="39"/>
      <c r="B233" s="39"/>
      <c r="C233" s="39"/>
      <c r="D233" s="40"/>
      <c r="E233" s="40"/>
      <c r="F233" s="40"/>
      <c r="G233" s="45"/>
      <c r="H233" s="39"/>
      <c r="I233" s="42"/>
      <c r="J233" s="43" t="str">
        <f aca="false">IF(OR(I233="",G233=""),"",G233*I233)</f>
        <v/>
      </c>
      <c r="K233" s="44" t="str">
        <f aca="false">IF(J233="","",J233/'Start Here'!$C$6)</f>
        <v/>
      </c>
      <c r="L233" s="45"/>
      <c r="M233" s="45"/>
      <c r="N233" s="40"/>
      <c r="O233" s="46" t="str">
        <f aca="false">IF(B233="","",IF(B233='By Room'!$C$4,COUNTIF($B$5:B233,'By Room'!$C$4),""))</f>
        <v/>
      </c>
    </row>
    <row r="234" customFormat="false" ht="15" hidden="false" customHeight="false" outlineLevel="0" collapsed="false">
      <c r="A234" s="39"/>
      <c r="B234" s="39"/>
      <c r="C234" s="39"/>
      <c r="D234" s="40"/>
      <c r="E234" s="40"/>
      <c r="F234" s="40"/>
      <c r="G234" s="45"/>
      <c r="H234" s="39"/>
      <c r="I234" s="42"/>
      <c r="J234" s="43" t="str">
        <f aca="false">IF(OR(I234="",G234=""),"",G234*I234)</f>
        <v/>
      </c>
      <c r="K234" s="44" t="str">
        <f aca="false">IF(J234="","",J234/'Start Here'!$C$6)</f>
        <v/>
      </c>
      <c r="L234" s="45"/>
      <c r="M234" s="45"/>
      <c r="N234" s="40"/>
      <c r="O234" s="46" t="str">
        <f aca="false">IF(B234="","",IF(B234='By Room'!$C$4,COUNTIF($B$5:B234,'By Room'!$C$4),""))</f>
        <v/>
      </c>
    </row>
    <row r="235" customFormat="false" ht="15" hidden="false" customHeight="false" outlineLevel="0" collapsed="false">
      <c r="A235" s="39"/>
      <c r="B235" s="39"/>
      <c r="C235" s="39"/>
      <c r="D235" s="40"/>
      <c r="E235" s="40"/>
      <c r="F235" s="40"/>
      <c r="G235" s="45"/>
      <c r="H235" s="39"/>
      <c r="I235" s="42"/>
      <c r="J235" s="43" t="str">
        <f aca="false">IF(OR(I235="",G235=""),"",G235*I235)</f>
        <v/>
      </c>
      <c r="K235" s="44" t="str">
        <f aca="false">IF(J235="","",J235/'Start Here'!$C$6)</f>
        <v/>
      </c>
      <c r="L235" s="45"/>
      <c r="M235" s="45"/>
      <c r="N235" s="40"/>
      <c r="O235" s="46" t="str">
        <f aca="false">IF(B235="","",IF(B235='By Room'!$C$4,COUNTIF($B$5:B235,'By Room'!$C$4),""))</f>
        <v/>
      </c>
    </row>
    <row r="236" customFormat="false" ht="15" hidden="false" customHeight="false" outlineLevel="0" collapsed="false">
      <c r="A236" s="39"/>
      <c r="B236" s="39"/>
      <c r="C236" s="39"/>
      <c r="D236" s="40"/>
      <c r="E236" s="40"/>
      <c r="F236" s="40"/>
      <c r="G236" s="45"/>
      <c r="H236" s="39"/>
      <c r="I236" s="42"/>
      <c r="J236" s="43" t="str">
        <f aca="false">IF(OR(I236="",G236=""),"",G236*I236)</f>
        <v/>
      </c>
      <c r="K236" s="44" t="str">
        <f aca="false">IF(J236="","",J236/'Start Here'!$C$6)</f>
        <v/>
      </c>
      <c r="L236" s="45"/>
      <c r="M236" s="45"/>
      <c r="N236" s="40"/>
      <c r="O236" s="46" t="str">
        <f aca="false">IF(B236="","",IF(B236='By Room'!$C$4,COUNTIF($B$5:B236,'By Room'!$C$4),""))</f>
        <v/>
      </c>
    </row>
    <row r="237" customFormat="false" ht="15" hidden="false" customHeight="false" outlineLevel="0" collapsed="false">
      <c r="A237" s="39"/>
      <c r="B237" s="39"/>
      <c r="C237" s="39"/>
      <c r="D237" s="40"/>
      <c r="E237" s="40"/>
      <c r="F237" s="40"/>
      <c r="G237" s="45"/>
      <c r="H237" s="39"/>
      <c r="I237" s="42"/>
      <c r="J237" s="43" t="str">
        <f aca="false">IF(OR(I237="",G237=""),"",G237*I237)</f>
        <v/>
      </c>
      <c r="K237" s="44" t="str">
        <f aca="false">IF(J237="","",J237/'Start Here'!$C$6)</f>
        <v/>
      </c>
      <c r="L237" s="45"/>
      <c r="M237" s="45"/>
      <c r="N237" s="40"/>
      <c r="O237" s="46" t="str">
        <f aca="false">IF(B237="","",IF(B237='By Room'!$C$4,COUNTIF($B$5:B237,'By Room'!$C$4),""))</f>
        <v/>
      </c>
    </row>
    <row r="238" customFormat="false" ht="15" hidden="false" customHeight="false" outlineLevel="0" collapsed="false">
      <c r="A238" s="39"/>
      <c r="B238" s="39"/>
      <c r="C238" s="39"/>
      <c r="D238" s="40"/>
      <c r="E238" s="40"/>
      <c r="F238" s="40"/>
      <c r="G238" s="45"/>
      <c r="H238" s="39"/>
      <c r="I238" s="42"/>
      <c r="J238" s="43" t="str">
        <f aca="false">IF(OR(I238="",G238=""),"",G238*I238)</f>
        <v/>
      </c>
      <c r="K238" s="44" t="str">
        <f aca="false">IF(J238="","",J238/'Start Here'!$C$6)</f>
        <v/>
      </c>
      <c r="L238" s="45"/>
      <c r="M238" s="45"/>
      <c r="N238" s="40"/>
      <c r="O238" s="46" t="str">
        <f aca="false">IF(B238="","",IF(B238='By Room'!$C$4,COUNTIF($B$5:B238,'By Room'!$C$4),""))</f>
        <v/>
      </c>
    </row>
    <row r="239" customFormat="false" ht="15" hidden="false" customHeight="false" outlineLevel="0" collapsed="false">
      <c r="A239" s="39"/>
      <c r="B239" s="39"/>
      <c r="C239" s="39"/>
      <c r="D239" s="40"/>
      <c r="E239" s="40"/>
      <c r="F239" s="40"/>
      <c r="G239" s="45"/>
      <c r="H239" s="39"/>
      <c r="I239" s="42"/>
      <c r="J239" s="43" t="str">
        <f aca="false">IF(OR(I239="",G239=""),"",G239*I239)</f>
        <v/>
      </c>
      <c r="K239" s="44" t="str">
        <f aca="false">IF(J239="","",J239/'Start Here'!$C$6)</f>
        <v/>
      </c>
      <c r="L239" s="45"/>
      <c r="M239" s="45"/>
      <c r="N239" s="40"/>
      <c r="O239" s="46" t="str">
        <f aca="false">IF(B239="","",IF(B239='By Room'!$C$4,COUNTIF($B$5:B239,'By Room'!$C$4),""))</f>
        <v/>
      </c>
    </row>
    <row r="240" customFormat="false" ht="15" hidden="false" customHeight="false" outlineLevel="0" collapsed="false">
      <c r="A240" s="39"/>
      <c r="B240" s="39"/>
      <c r="C240" s="39"/>
      <c r="D240" s="40"/>
      <c r="E240" s="40"/>
      <c r="F240" s="40"/>
      <c r="G240" s="45"/>
      <c r="H240" s="39"/>
      <c r="I240" s="42"/>
      <c r="J240" s="43" t="str">
        <f aca="false">IF(OR(I240="",G240=""),"",G240*I240)</f>
        <v/>
      </c>
      <c r="K240" s="44" t="str">
        <f aca="false">IF(J240="","",J240/'Start Here'!$C$6)</f>
        <v/>
      </c>
      <c r="L240" s="45"/>
      <c r="M240" s="45"/>
      <c r="N240" s="40"/>
      <c r="O240" s="46" t="str">
        <f aca="false">IF(B240="","",IF(B240='By Room'!$C$4,COUNTIF($B$5:B240,'By Room'!$C$4),""))</f>
        <v/>
      </c>
    </row>
    <row r="241" customFormat="false" ht="15" hidden="false" customHeight="false" outlineLevel="0" collapsed="false">
      <c r="A241" s="39"/>
      <c r="B241" s="39"/>
      <c r="C241" s="39"/>
      <c r="D241" s="40"/>
      <c r="E241" s="40"/>
      <c r="F241" s="40"/>
      <c r="G241" s="45"/>
      <c r="H241" s="39"/>
      <c r="I241" s="42"/>
      <c r="J241" s="43" t="str">
        <f aca="false">IF(OR(I241="",G241=""),"",G241*I241)</f>
        <v/>
      </c>
      <c r="K241" s="44" t="str">
        <f aca="false">IF(J241="","",J241/'Start Here'!$C$6)</f>
        <v/>
      </c>
      <c r="L241" s="45"/>
      <c r="M241" s="45"/>
      <c r="N241" s="40"/>
      <c r="O241" s="46" t="str">
        <f aca="false">IF(B241="","",IF(B241='By Room'!$C$4,COUNTIF($B$5:B241,'By Room'!$C$4),""))</f>
        <v/>
      </c>
    </row>
    <row r="242" customFormat="false" ht="15" hidden="false" customHeight="false" outlineLevel="0" collapsed="false">
      <c r="A242" s="39"/>
      <c r="B242" s="39"/>
      <c r="C242" s="39"/>
      <c r="D242" s="40"/>
      <c r="E242" s="40"/>
      <c r="F242" s="40"/>
      <c r="G242" s="45"/>
      <c r="H242" s="39"/>
      <c r="I242" s="42"/>
      <c r="J242" s="43" t="str">
        <f aca="false">IF(OR(I242="",G242=""),"",G242*I242)</f>
        <v/>
      </c>
      <c r="K242" s="44" t="str">
        <f aca="false">IF(J242="","",J242/'Start Here'!$C$6)</f>
        <v/>
      </c>
      <c r="L242" s="45"/>
      <c r="M242" s="45"/>
      <c r="N242" s="40"/>
      <c r="O242" s="46" t="str">
        <f aca="false">IF(B242="","",IF(B242='By Room'!$C$4,COUNTIF($B$5:B242,'By Room'!$C$4),""))</f>
        <v/>
      </c>
    </row>
    <row r="243" customFormat="false" ht="15" hidden="false" customHeight="false" outlineLevel="0" collapsed="false">
      <c r="A243" s="39"/>
      <c r="B243" s="39"/>
      <c r="C243" s="39"/>
      <c r="D243" s="40"/>
      <c r="E243" s="40"/>
      <c r="F243" s="40"/>
      <c r="G243" s="45"/>
      <c r="H243" s="39"/>
      <c r="I243" s="42"/>
      <c r="J243" s="43" t="str">
        <f aca="false">IF(OR(I243="",G243=""),"",G243*I243)</f>
        <v/>
      </c>
      <c r="K243" s="44" t="str">
        <f aca="false">IF(J243="","",J243/'Start Here'!$C$6)</f>
        <v/>
      </c>
      <c r="L243" s="45"/>
      <c r="M243" s="45"/>
      <c r="N243" s="40"/>
      <c r="O243" s="46" t="str">
        <f aca="false">IF(B243="","",IF(B243='By Room'!$C$4,COUNTIF($B$5:B243,'By Room'!$C$4),""))</f>
        <v/>
      </c>
    </row>
    <row r="244" customFormat="false" ht="15" hidden="false" customHeight="false" outlineLevel="0" collapsed="false">
      <c r="A244" s="39"/>
      <c r="B244" s="39"/>
      <c r="C244" s="39"/>
      <c r="D244" s="40"/>
      <c r="E244" s="40"/>
      <c r="F244" s="40"/>
      <c r="G244" s="45"/>
      <c r="H244" s="39"/>
      <c r="I244" s="42"/>
      <c r="J244" s="43" t="str">
        <f aca="false">IF(OR(I244="",G244=""),"",G244*I244)</f>
        <v/>
      </c>
      <c r="K244" s="44" t="str">
        <f aca="false">IF(J244="","",J244/'Start Here'!$C$6)</f>
        <v/>
      </c>
      <c r="L244" s="45"/>
      <c r="M244" s="45"/>
      <c r="N244" s="40"/>
      <c r="O244" s="46" t="str">
        <f aca="false">IF(B244="","",IF(B244='By Room'!$C$4,COUNTIF($B$5:B244,'By Room'!$C$4),""))</f>
        <v/>
      </c>
    </row>
    <row r="245" customFormat="false" ht="15" hidden="false" customHeight="false" outlineLevel="0" collapsed="false">
      <c r="A245" s="39"/>
      <c r="B245" s="39"/>
      <c r="C245" s="39"/>
      <c r="D245" s="40"/>
      <c r="E245" s="40"/>
      <c r="F245" s="40"/>
      <c r="G245" s="45"/>
      <c r="H245" s="39"/>
      <c r="I245" s="42"/>
      <c r="J245" s="43" t="str">
        <f aca="false">IF(OR(I245="",G245=""),"",G245*I245)</f>
        <v/>
      </c>
      <c r="K245" s="44" t="str">
        <f aca="false">IF(J245="","",J245/'Start Here'!$C$6)</f>
        <v/>
      </c>
      <c r="L245" s="45"/>
      <c r="M245" s="45"/>
      <c r="N245" s="40"/>
      <c r="O245" s="46" t="str">
        <f aca="false">IF(B245="","",IF(B245='By Room'!$C$4,COUNTIF($B$5:B245,'By Room'!$C$4),""))</f>
        <v/>
      </c>
    </row>
    <row r="246" customFormat="false" ht="15" hidden="false" customHeight="false" outlineLevel="0" collapsed="false">
      <c r="A246" s="39"/>
      <c r="B246" s="39"/>
      <c r="C246" s="39"/>
      <c r="D246" s="40"/>
      <c r="E246" s="40"/>
      <c r="F246" s="40"/>
      <c r="G246" s="45"/>
      <c r="H246" s="39"/>
      <c r="I246" s="42"/>
      <c r="J246" s="43" t="str">
        <f aca="false">IF(OR(I246="",G246=""),"",G246*I246)</f>
        <v/>
      </c>
      <c r="K246" s="44" t="str">
        <f aca="false">IF(J246="","",J246/'Start Here'!$C$6)</f>
        <v/>
      </c>
      <c r="L246" s="45"/>
      <c r="M246" s="45"/>
      <c r="N246" s="40"/>
      <c r="O246" s="46" t="str">
        <f aca="false">IF(B246="","",IF(B246='By Room'!$C$4,COUNTIF($B$5:B246,'By Room'!$C$4),""))</f>
        <v/>
      </c>
    </row>
    <row r="247" customFormat="false" ht="15" hidden="false" customHeight="false" outlineLevel="0" collapsed="false">
      <c r="A247" s="39"/>
      <c r="B247" s="39"/>
      <c r="C247" s="39"/>
      <c r="D247" s="40"/>
      <c r="E247" s="40"/>
      <c r="F247" s="40"/>
      <c r="G247" s="45"/>
      <c r="H247" s="39"/>
      <c r="I247" s="42"/>
      <c r="J247" s="43" t="str">
        <f aca="false">IF(OR(I247="",G247=""),"",G247*I247)</f>
        <v/>
      </c>
      <c r="K247" s="44" t="str">
        <f aca="false">IF(J247="","",J247/'Start Here'!$C$6)</f>
        <v/>
      </c>
      <c r="L247" s="45"/>
      <c r="M247" s="45"/>
      <c r="N247" s="40"/>
      <c r="O247" s="46" t="str">
        <f aca="false">IF(B247="","",IF(B247='By Room'!$C$4,COUNTIF($B$5:B247,'By Room'!$C$4),""))</f>
        <v/>
      </c>
    </row>
    <row r="248" customFormat="false" ht="15" hidden="false" customHeight="false" outlineLevel="0" collapsed="false">
      <c r="A248" s="39"/>
      <c r="B248" s="39"/>
      <c r="C248" s="39"/>
      <c r="D248" s="40"/>
      <c r="E248" s="40"/>
      <c r="F248" s="40"/>
      <c r="G248" s="45"/>
      <c r="H248" s="39"/>
      <c r="I248" s="42"/>
      <c r="J248" s="43" t="str">
        <f aca="false">IF(OR(I248="",G248=""),"",G248*I248)</f>
        <v/>
      </c>
      <c r="K248" s="44" t="str">
        <f aca="false">IF(J248="","",J248/'Start Here'!$C$6)</f>
        <v/>
      </c>
      <c r="L248" s="45"/>
      <c r="M248" s="45"/>
      <c r="N248" s="40"/>
      <c r="O248" s="46" t="str">
        <f aca="false">IF(B248="","",IF(B248='By Room'!$C$4,COUNTIF($B$5:B248,'By Room'!$C$4),""))</f>
        <v/>
      </c>
    </row>
    <row r="249" customFormat="false" ht="15" hidden="false" customHeight="false" outlineLevel="0" collapsed="false">
      <c r="A249" s="39"/>
      <c r="B249" s="39"/>
      <c r="C249" s="39"/>
      <c r="D249" s="40"/>
      <c r="E249" s="40"/>
      <c r="F249" s="40"/>
      <c r="G249" s="45"/>
      <c r="H249" s="39"/>
      <c r="I249" s="42"/>
      <c r="J249" s="43" t="str">
        <f aca="false">IF(OR(I249="",G249=""),"",G249*I249)</f>
        <v/>
      </c>
      <c r="K249" s="44" t="str">
        <f aca="false">IF(J249="","",J249/'Start Here'!$C$6)</f>
        <v/>
      </c>
      <c r="L249" s="45"/>
      <c r="M249" s="45"/>
      <c r="N249" s="40"/>
      <c r="O249" s="46" t="str">
        <f aca="false">IF(B249="","",IF(B249='By Room'!$C$4,COUNTIF($B$5:B249,'By Room'!$C$4),""))</f>
        <v/>
      </c>
    </row>
    <row r="250" customFormat="false" ht="15" hidden="false" customHeight="false" outlineLevel="0" collapsed="false">
      <c r="A250" s="39"/>
      <c r="B250" s="39"/>
      <c r="C250" s="39"/>
      <c r="D250" s="40"/>
      <c r="E250" s="40"/>
      <c r="F250" s="40"/>
      <c r="G250" s="45"/>
      <c r="H250" s="39"/>
      <c r="I250" s="42"/>
      <c r="J250" s="43" t="str">
        <f aca="false">IF(OR(I250="",G250=""),"",G250*I250)</f>
        <v/>
      </c>
      <c r="K250" s="44" t="str">
        <f aca="false">IF(J250="","",J250/'Start Here'!$C$6)</f>
        <v/>
      </c>
      <c r="L250" s="45"/>
      <c r="M250" s="45"/>
      <c r="N250" s="40"/>
      <c r="O250" s="46" t="str">
        <f aca="false">IF(B250="","",IF(B250='By Room'!$C$4,COUNTIF($B$5:B250,'By Room'!$C$4),""))</f>
        <v/>
      </c>
    </row>
    <row r="251" customFormat="false" ht="15" hidden="false" customHeight="false" outlineLevel="0" collapsed="false">
      <c r="A251" s="39"/>
      <c r="B251" s="39"/>
      <c r="C251" s="39"/>
      <c r="D251" s="40"/>
      <c r="E251" s="40"/>
      <c r="F251" s="40"/>
      <c r="G251" s="45"/>
      <c r="H251" s="39"/>
      <c r="I251" s="42"/>
      <c r="J251" s="43" t="str">
        <f aca="false">IF(OR(I251="",G251=""),"",G251*I251)</f>
        <v/>
      </c>
      <c r="K251" s="44" t="str">
        <f aca="false">IF(J251="","",J251/'Start Here'!$C$6)</f>
        <v/>
      </c>
      <c r="L251" s="45"/>
      <c r="M251" s="45"/>
      <c r="N251" s="40"/>
      <c r="O251" s="46" t="str">
        <f aca="false">IF(B251="","",IF(B251='By Room'!$C$4,COUNTIF($B$5:B251,'By Room'!$C$4),""))</f>
        <v/>
      </c>
    </row>
    <row r="252" customFormat="false" ht="15" hidden="false" customHeight="false" outlineLevel="0" collapsed="false">
      <c r="A252" s="39"/>
      <c r="B252" s="39"/>
      <c r="C252" s="39"/>
      <c r="D252" s="40"/>
      <c r="E252" s="40"/>
      <c r="F252" s="40"/>
      <c r="G252" s="45"/>
      <c r="H252" s="39"/>
      <c r="I252" s="42"/>
      <c r="J252" s="43" t="str">
        <f aca="false">IF(OR(I252="",G252=""),"",G252*I252)</f>
        <v/>
      </c>
      <c r="K252" s="44" t="str">
        <f aca="false">IF(J252="","",J252/'Start Here'!$C$6)</f>
        <v/>
      </c>
      <c r="L252" s="45"/>
      <c r="M252" s="45"/>
      <c r="N252" s="40"/>
      <c r="O252" s="46" t="str">
        <f aca="false">IF(B252="","",IF(B252='By Room'!$C$4,COUNTIF($B$5:B252,'By Room'!$C$4),""))</f>
        <v/>
      </c>
    </row>
    <row r="253" customFormat="false" ht="15" hidden="false" customHeight="false" outlineLevel="0" collapsed="false">
      <c r="A253" s="39"/>
      <c r="B253" s="39"/>
      <c r="C253" s="39"/>
      <c r="D253" s="40"/>
      <c r="E253" s="40"/>
      <c r="F253" s="40"/>
      <c r="G253" s="45"/>
      <c r="H253" s="39"/>
      <c r="I253" s="42"/>
      <c r="J253" s="43" t="str">
        <f aca="false">IF(OR(I253="",G253=""),"",G253*I253)</f>
        <v/>
      </c>
      <c r="K253" s="44" t="str">
        <f aca="false">IF(J253="","",J253/'Start Here'!$C$6)</f>
        <v/>
      </c>
      <c r="L253" s="45"/>
      <c r="M253" s="45"/>
      <c r="N253" s="40"/>
      <c r="O253" s="46" t="str">
        <f aca="false">IF(B253="","",IF(B253='By Room'!$C$4,COUNTIF($B$5:B253,'By Room'!$C$4),""))</f>
        <v/>
      </c>
    </row>
    <row r="254" customFormat="false" ht="15" hidden="false" customHeight="false" outlineLevel="0" collapsed="false">
      <c r="A254" s="39"/>
      <c r="B254" s="39"/>
      <c r="C254" s="39"/>
      <c r="D254" s="40"/>
      <c r="E254" s="40"/>
      <c r="F254" s="40"/>
      <c r="G254" s="45"/>
      <c r="H254" s="39"/>
      <c r="I254" s="42"/>
      <c r="J254" s="43" t="str">
        <f aca="false">IF(OR(I254="",G254=""),"",G254*I254)</f>
        <v/>
      </c>
      <c r="K254" s="44" t="str">
        <f aca="false">IF(J254="","",J254/'Start Here'!$C$6)</f>
        <v/>
      </c>
      <c r="L254" s="45"/>
      <c r="M254" s="45"/>
      <c r="N254" s="40"/>
      <c r="O254" s="46" t="str">
        <f aca="false">IF(B254="","",IF(B254='By Room'!$C$4,COUNTIF($B$5:B254,'By Room'!$C$4),""))</f>
        <v/>
      </c>
    </row>
    <row r="255" customFormat="false" ht="15" hidden="false" customHeight="false" outlineLevel="0" collapsed="false">
      <c r="A255" s="39"/>
      <c r="B255" s="39"/>
      <c r="C255" s="39"/>
      <c r="D255" s="40"/>
      <c r="E255" s="40"/>
      <c r="F255" s="40"/>
      <c r="G255" s="45"/>
      <c r="H255" s="39"/>
      <c r="I255" s="42"/>
      <c r="J255" s="43" t="str">
        <f aca="false">IF(OR(I255="",G255=""),"",G255*I255)</f>
        <v/>
      </c>
      <c r="K255" s="44" t="str">
        <f aca="false">IF(J255="","",J255/'Start Here'!$C$6)</f>
        <v/>
      </c>
      <c r="L255" s="45"/>
      <c r="M255" s="45"/>
      <c r="N255" s="40"/>
      <c r="O255" s="46" t="str">
        <f aca="false">IF(B255="","",IF(B255='By Room'!$C$4,COUNTIF($B$5:B255,'By Room'!$C$4),""))</f>
        <v/>
      </c>
    </row>
    <row r="256" customFormat="false" ht="15" hidden="false" customHeight="false" outlineLevel="0" collapsed="false">
      <c r="A256" s="39"/>
      <c r="B256" s="39"/>
      <c r="C256" s="39"/>
      <c r="D256" s="40"/>
      <c r="E256" s="40"/>
      <c r="F256" s="40"/>
      <c r="G256" s="45"/>
      <c r="H256" s="39"/>
      <c r="I256" s="42"/>
      <c r="J256" s="43" t="str">
        <f aca="false">IF(OR(I256="",G256=""),"",G256*I256)</f>
        <v/>
      </c>
      <c r="K256" s="44" t="str">
        <f aca="false">IF(J256="","",J256/'Start Here'!$C$6)</f>
        <v/>
      </c>
      <c r="L256" s="45"/>
      <c r="M256" s="45"/>
      <c r="N256" s="40"/>
      <c r="O256" s="46" t="str">
        <f aca="false">IF(B256="","",IF(B256='By Room'!$C$4,COUNTIF($B$5:B256,'By Room'!$C$4),""))</f>
        <v/>
      </c>
    </row>
    <row r="257" customFormat="false" ht="15" hidden="false" customHeight="false" outlineLevel="0" collapsed="false">
      <c r="A257" s="39"/>
      <c r="B257" s="39"/>
      <c r="C257" s="39"/>
      <c r="D257" s="40"/>
      <c r="E257" s="40"/>
      <c r="F257" s="40"/>
      <c r="G257" s="45"/>
      <c r="H257" s="39"/>
      <c r="I257" s="42"/>
      <c r="J257" s="43" t="str">
        <f aca="false">IF(OR(I257="",G257=""),"",G257*I257)</f>
        <v/>
      </c>
      <c r="K257" s="44" t="str">
        <f aca="false">IF(J257="","",J257/'Start Here'!$C$6)</f>
        <v/>
      </c>
      <c r="L257" s="45"/>
      <c r="M257" s="45"/>
      <c r="N257" s="40"/>
      <c r="O257" s="46" t="str">
        <f aca="false">IF(B257="","",IF(B257='By Room'!$C$4,COUNTIF($B$5:B257,'By Room'!$C$4),""))</f>
        <v/>
      </c>
    </row>
    <row r="258" customFormat="false" ht="15" hidden="false" customHeight="false" outlineLevel="0" collapsed="false">
      <c r="A258" s="39"/>
      <c r="B258" s="39"/>
      <c r="C258" s="39"/>
      <c r="D258" s="40"/>
      <c r="E258" s="40"/>
      <c r="F258" s="40"/>
      <c r="G258" s="45"/>
      <c r="H258" s="39"/>
      <c r="I258" s="42"/>
      <c r="J258" s="43" t="str">
        <f aca="false">IF(OR(I258="",G258=""),"",G258*I258)</f>
        <v/>
      </c>
      <c r="K258" s="44" t="str">
        <f aca="false">IF(J258="","",J258/'Start Here'!$C$6)</f>
        <v/>
      </c>
      <c r="L258" s="45"/>
      <c r="M258" s="45"/>
      <c r="N258" s="40"/>
      <c r="O258" s="46" t="str">
        <f aca="false">IF(B258="","",IF(B258='By Room'!$C$4,COUNTIF($B$5:B258,'By Room'!$C$4),""))</f>
        <v/>
      </c>
    </row>
    <row r="259" customFormat="false" ht="15" hidden="false" customHeight="false" outlineLevel="0" collapsed="false">
      <c r="A259" s="39"/>
      <c r="B259" s="39"/>
      <c r="C259" s="39"/>
      <c r="D259" s="40"/>
      <c r="E259" s="40"/>
      <c r="F259" s="40"/>
      <c r="G259" s="45"/>
      <c r="H259" s="39"/>
      <c r="I259" s="42"/>
      <c r="J259" s="43" t="str">
        <f aca="false">IF(OR(I259="",G259=""),"",G259*I259)</f>
        <v/>
      </c>
      <c r="K259" s="44" t="str">
        <f aca="false">IF(J259="","",J259/'Start Here'!$C$6)</f>
        <v/>
      </c>
      <c r="L259" s="45"/>
      <c r="M259" s="45"/>
      <c r="N259" s="40"/>
      <c r="O259" s="46" t="str">
        <f aca="false">IF(B259="","",IF(B259='By Room'!$C$4,COUNTIF($B$5:B259,'By Room'!$C$4),""))</f>
        <v/>
      </c>
    </row>
    <row r="260" customFormat="false" ht="15" hidden="false" customHeight="false" outlineLevel="0" collapsed="false">
      <c r="A260" s="39"/>
      <c r="B260" s="39"/>
      <c r="C260" s="39"/>
      <c r="D260" s="40"/>
      <c r="E260" s="40"/>
      <c r="F260" s="40"/>
      <c r="G260" s="45"/>
      <c r="H260" s="39"/>
      <c r="I260" s="42"/>
      <c r="J260" s="43" t="str">
        <f aca="false">IF(OR(I260="",G260=""),"",G260*I260)</f>
        <v/>
      </c>
      <c r="K260" s="44" t="str">
        <f aca="false">IF(J260="","",J260/'Start Here'!$C$6)</f>
        <v/>
      </c>
      <c r="L260" s="45"/>
      <c r="M260" s="45"/>
      <c r="N260" s="40"/>
      <c r="O260" s="46" t="str">
        <f aca="false">IF(B260="","",IF(B260='By Room'!$C$4,COUNTIF($B$5:B260,'By Room'!$C$4),""))</f>
        <v/>
      </c>
    </row>
    <row r="261" customFormat="false" ht="15" hidden="false" customHeight="false" outlineLevel="0" collapsed="false">
      <c r="A261" s="39"/>
      <c r="B261" s="39"/>
      <c r="C261" s="39"/>
      <c r="D261" s="40"/>
      <c r="E261" s="40"/>
      <c r="F261" s="40"/>
      <c r="G261" s="45"/>
      <c r="H261" s="39"/>
      <c r="I261" s="42"/>
      <c r="J261" s="43" t="str">
        <f aca="false">IF(OR(I261="",G261=""),"",G261*I261)</f>
        <v/>
      </c>
      <c r="K261" s="44" t="str">
        <f aca="false">IF(J261="","",J261/'Start Here'!$C$6)</f>
        <v/>
      </c>
      <c r="L261" s="45"/>
      <c r="M261" s="45"/>
      <c r="N261" s="40"/>
      <c r="O261" s="46" t="str">
        <f aca="false">IF(B261="","",IF(B261='By Room'!$C$4,COUNTIF($B$5:B261,'By Room'!$C$4),""))</f>
        <v/>
      </c>
    </row>
    <row r="262" customFormat="false" ht="15" hidden="false" customHeight="false" outlineLevel="0" collapsed="false">
      <c r="A262" s="39"/>
      <c r="B262" s="39"/>
      <c r="C262" s="39"/>
      <c r="D262" s="40"/>
      <c r="E262" s="40"/>
      <c r="F262" s="40"/>
      <c r="G262" s="45"/>
      <c r="H262" s="39"/>
      <c r="I262" s="42"/>
      <c r="J262" s="43" t="str">
        <f aca="false">IF(OR(I262="",G262=""),"",G262*I262)</f>
        <v/>
      </c>
      <c r="K262" s="44" t="str">
        <f aca="false">IF(J262="","",J262/'Start Here'!$C$6)</f>
        <v/>
      </c>
      <c r="L262" s="45"/>
      <c r="M262" s="45"/>
      <c r="N262" s="40"/>
      <c r="O262" s="46" t="str">
        <f aca="false">IF(B262="","",IF(B262='By Room'!$C$4,COUNTIF($B$5:B262,'By Room'!$C$4),""))</f>
        <v/>
      </c>
    </row>
    <row r="263" customFormat="false" ht="15" hidden="false" customHeight="false" outlineLevel="0" collapsed="false">
      <c r="A263" s="39"/>
      <c r="B263" s="39"/>
      <c r="C263" s="39"/>
      <c r="D263" s="40"/>
      <c r="E263" s="40"/>
      <c r="F263" s="40"/>
      <c r="G263" s="45"/>
      <c r="H263" s="39"/>
      <c r="I263" s="42"/>
      <c r="J263" s="43" t="str">
        <f aca="false">IF(OR(I263="",G263=""),"",G263*I263)</f>
        <v/>
      </c>
      <c r="K263" s="44" t="str">
        <f aca="false">IF(J263="","",J263/'Start Here'!$C$6)</f>
        <v/>
      </c>
      <c r="L263" s="45"/>
      <c r="M263" s="45"/>
      <c r="N263" s="40"/>
      <c r="O263" s="46" t="str">
        <f aca="false">IF(B263="","",IF(B263='By Room'!$C$4,COUNTIF($B$5:B263,'By Room'!$C$4),""))</f>
        <v/>
      </c>
    </row>
    <row r="264" customFormat="false" ht="15" hidden="false" customHeight="false" outlineLevel="0" collapsed="false">
      <c r="A264" s="39"/>
      <c r="B264" s="39"/>
      <c r="C264" s="39"/>
      <c r="D264" s="40"/>
      <c r="E264" s="40"/>
      <c r="F264" s="40"/>
      <c r="G264" s="45"/>
      <c r="H264" s="39"/>
      <c r="I264" s="42"/>
      <c r="J264" s="43" t="str">
        <f aca="false">IF(OR(I264="",G264=""),"",G264*I264)</f>
        <v/>
      </c>
      <c r="K264" s="44" t="str">
        <f aca="false">IF(J264="","",J264/'Start Here'!$C$6)</f>
        <v/>
      </c>
      <c r="L264" s="45"/>
      <c r="M264" s="45"/>
      <c r="N264" s="40"/>
      <c r="O264" s="46" t="str">
        <f aca="false">IF(B264="","",IF(B264='By Room'!$C$4,COUNTIF($B$5:B264,'By Room'!$C$4),""))</f>
        <v/>
      </c>
    </row>
    <row r="265" customFormat="false" ht="15" hidden="false" customHeight="false" outlineLevel="0" collapsed="false">
      <c r="A265" s="39"/>
      <c r="B265" s="39"/>
      <c r="C265" s="39"/>
      <c r="D265" s="40"/>
      <c r="E265" s="40"/>
      <c r="F265" s="40"/>
      <c r="G265" s="45"/>
      <c r="H265" s="39"/>
      <c r="I265" s="42"/>
      <c r="J265" s="43" t="str">
        <f aca="false">IF(OR(I265="",G265=""),"",G265*I265)</f>
        <v/>
      </c>
      <c r="K265" s="44" t="str">
        <f aca="false">IF(J265="","",J265/'Start Here'!$C$6)</f>
        <v/>
      </c>
      <c r="L265" s="45"/>
      <c r="M265" s="45"/>
      <c r="N265" s="40"/>
      <c r="O265" s="46" t="str">
        <f aca="false">IF(B265="","",IF(B265='By Room'!$C$4,COUNTIF($B$5:B265,'By Room'!$C$4),""))</f>
        <v/>
      </c>
    </row>
    <row r="266" customFormat="false" ht="15" hidden="false" customHeight="false" outlineLevel="0" collapsed="false">
      <c r="A266" s="39"/>
      <c r="B266" s="39"/>
      <c r="C266" s="39"/>
      <c r="D266" s="40"/>
      <c r="E266" s="40"/>
      <c r="F266" s="40"/>
      <c r="G266" s="45"/>
      <c r="H266" s="39"/>
      <c r="I266" s="42"/>
      <c r="J266" s="43" t="str">
        <f aca="false">IF(OR(I266="",G266=""),"",G266*I266)</f>
        <v/>
      </c>
      <c r="K266" s="44" t="str">
        <f aca="false">IF(J266="","",J266/'Start Here'!$C$6)</f>
        <v/>
      </c>
      <c r="L266" s="45"/>
      <c r="M266" s="45"/>
      <c r="N266" s="40"/>
      <c r="O266" s="46" t="str">
        <f aca="false">IF(B266="","",IF(B266='By Room'!$C$4,COUNTIF($B$5:B266,'By Room'!$C$4),""))</f>
        <v/>
      </c>
    </row>
    <row r="267" customFormat="false" ht="15" hidden="false" customHeight="false" outlineLevel="0" collapsed="false">
      <c r="A267" s="39"/>
      <c r="B267" s="39"/>
      <c r="C267" s="39"/>
      <c r="D267" s="40"/>
      <c r="E267" s="40"/>
      <c r="F267" s="40"/>
      <c r="G267" s="45"/>
      <c r="H267" s="39"/>
      <c r="I267" s="42"/>
      <c r="J267" s="43" t="str">
        <f aca="false">IF(OR(I267="",G267=""),"",G267*I267)</f>
        <v/>
      </c>
      <c r="K267" s="44" t="str">
        <f aca="false">IF(J267="","",J267/'Start Here'!$C$6)</f>
        <v/>
      </c>
      <c r="L267" s="45"/>
      <c r="M267" s="45"/>
      <c r="N267" s="40"/>
      <c r="O267" s="46" t="str">
        <f aca="false">IF(B267="","",IF(B267='By Room'!$C$4,COUNTIF($B$5:B267,'By Room'!$C$4),""))</f>
        <v/>
      </c>
    </row>
    <row r="268" customFormat="false" ht="15" hidden="false" customHeight="false" outlineLevel="0" collapsed="false">
      <c r="A268" s="39"/>
      <c r="B268" s="39"/>
      <c r="C268" s="39"/>
      <c r="D268" s="40"/>
      <c r="E268" s="40"/>
      <c r="F268" s="40"/>
      <c r="G268" s="45"/>
      <c r="H268" s="39"/>
      <c r="I268" s="42"/>
      <c r="J268" s="43" t="str">
        <f aca="false">IF(OR(I268="",G268=""),"",G268*I268)</f>
        <v/>
      </c>
      <c r="K268" s="44" t="str">
        <f aca="false">IF(J268="","",J268/'Start Here'!$C$6)</f>
        <v/>
      </c>
      <c r="L268" s="45"/>
      <c r="M268" s="45"/>
      <c r="N268" s="40"/>
      <c r="O268" s="46" t="str">
        <f aca="false">IF(B268="","",IF(B268='By Room'!$C$4,COUNTIF($B$5:B268,'By Room'!$C$4),""))</f>
        <v/>
      </c>
    </row>
    <row r="269" customFormat="false" ht="15" hidden="false" customHeight="false" outlineLevel="0" collapsed="false">
      <c r="A269" s="39"/>
      <c r="B269" s="39"/>
      <c r="C269" s="39"/>
      <c r="D269" s="40"/>
      <c r="E269" s="40"/>
      <c r="F269" s="40"/>
      <c r="G269" s="45"/>
      <c r="H269" s="39"/>
      <c r="I269" s="42"/>
      <c r="J269" s="43" t="str">
        <f aca="false">IF(OR(I269="",G269=""),"",G269*I269)</f>
        <v/>
      </c>
      <c r="K269" s="44" t="str">
        <f aca="false">IF(J269="","",J269/'Start Here'!$C$6)</f>
        <v/>
      </c>
      <c r="L269" s="45"/>
      <c r="M269" s="45"/>
      <c r="N269" s="40"/>
      <c r="O269" s="46" t="str">
        <f aca="false">IF(B269="","",IF(B269='By Room'!$C$4,COUNTIF($B$5:B269,'By Room'!$C$4),""))</f>
        <v/>
      </c>
    </row>
    <row r="270" customFormat="false" ht="15" hidden="false" customHeight="false" outlineLevel="0" collapsed="false">
      <c r="A270" s="39"/>
      <c r="B270" s="39"/>
      <c r="C270" s="39"/>
      <c r="D270" s="40"/>
      <c r="E270" s="40"/>
      <c r="F270" s="40"/>
      <c r="G270" s="45"/>
      <c r="H270" s="39"/>
      <c r="I270" s="42"/>
      <c r="J270" s="43" t="str">
        <f aca="false">IF(OR(I270="",G270=""),"",G270*I270)</f>
        <v/>
      </c>
      <c r="K270" s="44" t="str">
        <f aca="false">IF(J270="","",J270/'Start Here'!$C$6)</f>
        <v/>
      </c>
      <c r="L270" s="45"/>
      <c r="M270" s="45"/>
      <c r="N270" s="40"/>
      <c r="O270" s="46" t="str">
        <f aca="false">IF(B270="","",IF(B270='By Room'!$C$4,COUNTIF($B$5:B270,'By Room'!$C$4),""))</f>
        <v/>
      </c>
    </row>
    <row r="271" customFormat="false" ht="15" hidden="false" customHeight="false" outlineLevel="0" collapsed="false">
      <c r="A271" s="39"/>
      <c r="B271" s="39"/>
      <c r="C271" s="39"/>
      <c r="D271" s="40"/>
      <c r="E271" s="40"/>
      <c r="F271" s="40"/>
      <c r="G271" s="45"/>
      <c r="H271" s="39"/>
      <c r="I271" s="42"/>
      <c r="J271" s="43" t="str">
        <f aca="false">IF(OR(I271="",G271=""),"",G271*I271)</f>
        <v/>
      </c>
      <c r="K271" s="44" t="str">
        <f aca="false">IF(J271="","",J271/'Start Here'!$C$6)</f>
        <v/>
      </c>
      <c r="L271" s="45"/>
      <c r="M271" s="45"/>
      <c r="N271" s="40"/>
      <c r="O271" s="46" t="str">
        <f aca="false">IF(B271="","",IF(B271='By Room'!$C$4,COUNTIF($B$5:B271,'By Room'!$C$4),""))</f>
        <v/>
      </c>
    </row>
    <row r="272" customFormat="false" ht="15" hidden="false" customHeight="false" outlineLevel="0" collapsed="false">
      <c r="A272" s="39"/>
      <c r="B272" s="39"/>
      <c r="C272" s="39"/>
      <c r="D272" s="40"/>
      <c r="E272" s="40"/>
      <c r="F272" s="40"/>
      <c r="G272" s="45"/>
      <c r="H272" s="39"/>
      <c r="I272" s="42"/>
      <c r="J272" s="43" t="str">
        <f aca="false">IF(OR(I272="",G272=""),"",G272*I272)</f>
        <v/>
      </c>
      <c r="K272" s="44" t="str">
        <f aca="false">IF(J272="","",J272/'Start Here'!$C$6)</f>
        <v/>
      </c>
      <c r="L272" s="45"/>
      <c r="M272" s="45"/>
      <c r="N272" s="40"/>
      <c r="O272" s="46" t="str">
        <f aca="false">IF(B272="","",IF(B272='By Room'!$C$4,COUNTIF($B$5:B272,'By Room'!$C$4),""))</f>
        <v/>
      </c>
    </row>
    <row r="273" customFormat="false" ht="15" hidden="false" customHeight="false" outlineLevel="0" collapsed="false">
      <c r="A273" s="39"/>
      <c r="B273" s="39"/>
      <c r="C273" s="39"/>
      <c r="D273" s="40"/>
      <c r="E273" s="40"/>
      <c r="F273" s="40"/>
      <c r="G273" s="45"/>
      <c r="H273" s="39"/>
      <c r="I273" s="42"/>
      <c r="J273" s="43" t="str">
        <f aca="false">IF(OR(I273="",G273=""),"",G273*I273)</f>
        <v/>
      </c>
      <c r="K273" s="44" t="str">
        <f aca="false">IF(J273="","",J273/'Start Here'!$C$6)</f>
        <v/>
      </c>
      <c r="L273" s="45"/>
      <c r="M273" s="45"/>
      <c r="N273" s="40"/>
      <c r="O273" s="46" t="str">
        <f aca="false">IF(B273="","",IF(B273='By Room'!$C$4,COUNTIF($B$5:B273,'By Room'!$C$4),""))</f>
        <v/>
      </c>
    </row>
    <row r="274" customFormat="false" ht="15" hidden="false" customHeight="false" outlineLevel="0" collapsed="false">
      <c r="A274" s="39"/>
      <c r="B274" s="39"/>
      <c r="C274" s="39"/>
      <c r="D274" s="40"/>
      <c r="E274" s="40"/>
      <c r="F274" s="40"/>
      <c r="G274" s="45"/>
      <c r="H274" s="39"/>
      <c r="I274" s="42"/>
      <c r="J274" s="43" t="str">
        <f aca="false">IF(OR(I274="",G274=""),"",G274*I274)</f>
        <v/>
      </c>
      <c r="K274" s="44" t="str">
        <f aca="false">IF(J274="","",J274/'Start Here'!$C$6)</f>
        <v/>
      </c>
      <c r="L274" s="45"/>
      <c r="M274" s="45"/>
      <c r="N274" s="40"/>
      <c r="O274" s="46" t="str">
        <f aca="false">IF(B274="","",IF(B274='By Room'!$C$4,COUNTIF($B$5:B274,'By Room'!$C$4),""))</f>
        <v/>
      </c>
    </row>
    <row r="275" customFormat="false" ht="15" hidden="false" customHeight="false" outlineLevel="0" collapsed="false">
      <c r="A275" s="39"/>
      <c r="B275" s="39"/>
      <c r="C275" s="39"/>
      <c r="D275" s="40"/>
      <c r="E275" s="40"/>
      <c r="F275" s="40"/>
      <c r="G275" s="45"/>
      <c r="H275" s="39"/>
      <c r="I275" s="42"/>
      <c r="J275" s="43" t="str">
        <f aca="false">IF(OR(I275="",G275=""),"",G275*I275)</f>
        <v/>
      </c>
      <c r="K275" s="44" t="str">
        <f aca="false">IF(J275="","",J275/'Start Here'!$C$6)</f>
        <v/>
      </c>
      <c r="L275" s="45"/>
      <c r="M275" s="45"/>
      <c r="N275" s="40"/>
      <c r="O275" s="46" t="str">
        <f aca="false">IF(B275="","",IF(B275='By Room'!$C$4,COUNTIF($B$5:B275,'By Room'!$C$4),""))</f>
        <v/>
      </c>
    </row>
    <row r="276" customFormat="false" ht="15" hidden="false" customHeight="false" outlineLevel="0" collapsed="false">
      <c r="A276" s="39"/>
      <c r="B276" s="39"/>
      <c r="C276" s="39"/>
      <c r="D276" s="40"/>
      <c r="E276" s="40"/>
      <c r="F276" s="40"/>
      <c r="G276" s="45"/>
      <c r="H276" s="39"/>
      <c r="I276" s="42"/>
      <c r="J276" s="43" t="str">
        <f aca="false">IF(OR(I276="",G276=""),"",G276*I276)</f>
        <v/>
      </c>
      <c r="K276" s="44" t="str">
        <f aca="false">IF(J276="","",J276/'Start Here'!$C$6)</f>
        <v/>
      </c>
      <c r="L276" s="45"/>
      <c r="M276" s="45"/>
      <c r="N276" s="40"/>
      <c r="O276" s="46" t="str">
        <f aca="false">IF(B276="","",IF(B276='By Room'!$C$4,COUNTIF($B$5:B276,'By Room'!$C$4),""))</f>
        <v/>
      </c>
    </row>
    <row r="277" customFormat="false" ht="15" hidden="false" customHeight="false" outlineLevel="0" collapsed="false">
      <c r="A277" s="39"/>
      <c r="B277" s="39"/>
      <c r="C277" s="39"/>
      <c r="D277" s="40"/>
      <c r="E277" s="40"/>
      <c r="F277" s="40"/>
      <c r="G277" s="45"/>
      <c r="H277" s="39"/>
      <c r="I277" s="42"/>
      <c r="J277" s="43" t="str">
        <f aca="false">IF(OR(I277="",G277=""),"",G277*I277)</f>
        <v/>
      </c>
      <c r="K277" s="44" t="str">
        <f aca="false">IF(J277="","",J277/'Start Here'!$C$6)</f>
        <v/>
      </c>
      <c r="L277" s="45"/>
      <c r="M277" s="45"/>
      <c r="N277" s="40"/>
      <c r="O277" s="46" t="str">
        <f aca="false">IF(B277="","",IF(B277='By Room'!$C$4,COUNTIF($B$5:B277,'By Room'!$C$4),""))</f>
        <v/>
      </c>
    </row>
    <row r="278" customFormat="false" ht="15" hidden="false" customHeight="false" outlineLevel="0" collapsed="false">
      <c r="A278" s="39"/>
      <c r="B278" s="39"/>
      <c r="C278" s="39"/>
      <c r="D278" s="40"/>
      <c r="E278" s="40"/>
      <c r="F278" s="40"/>
      <c r="G278" s="45"/>
      <c r="H278" s="39"/>
      <c r="I278" s="42"/>
      <c r="J278" s="43" t="str">
        <f aca="false">IF(OR(I278="",G278=""),"",G278*I278)</f>
        <v/>
      </c>
      <c r="K278" s="44" t="str">
        <f aca="false">IF(J278="","",J278/'Start Here'!$C$6)</f>
        <v/>
      </c>
      <c r="L278" s="45"/>
      <c r="M278" s="45"/>
      <c r="N278" s="40"/>
      <c r="O278" s="46" t="str">
        <f aca="false">IF(B278="","",IF(B278='By Room'!$C$4,COUNTIF($B$5:B278,'By Room'!$C$4),""))</f>
        <v/>
      </c>
    </row>
    <row r="279" customFormat="false" ht="15" hidden="false" customHeight="false" outlineLevel="0" collapsed="false">
      <c r="A279" s="39"/>
      <c r="B279" s="39"/>
      <c r="C279" s="39"/>
      <c r="D279" s="40"/>
      <c r="E279" s="40"/>
      <c r="F279" s="40"/>
      <c r="G279" s="45"/>
      <c r="H279" s="39"/>
      <c r="I279" s="42"/>
      <c r="J279" s="43" t="str">
        <f aca="false">IF(OR(I279="",G279=""),"",G279*I279)</f>
        <v/>
      </c>
      <c r="K279" s="44" t="str">
        <f aca="false">IF(J279="","",J279/'Start Here'!$C$6)</f>
        <v/>
      </c>
      <c r="L279" s="45"/>
      <c r="M279" s="45"/>
      <c r="N279" s="40"/>
      <c r="O279" s="46" t="str">
        <f aca="false">IF(B279="","",IF(B279='By Room'!$C$4,COUNTIF($B$5:B279,'By Room'!$C$4),""))</f>
        <v/>
      </c>
    </row>
    <row r="280" customFormat="false" ht="15" hidden="false" customHeight="false" outlineLevel="0" collapsed="false">
      <c r="A280" s="39"/>
      <c r="B280" s="39"/>
      <c r="C280" s="39"/>
      <c r="D280" s="40"/>
      <c r="E280" s="40"/>
      <c r="F280" s="40"/>
      <c r="G280" s="45"/>
      <c r="H280" s="39"/>
      <c r="I280" s="42"/>
      <c r="J280" s="43" t="str">
        <f aca="false">IF(OR(I280="",G280=""),"",G280*I280)</f>
        <v/>
      </c>
      <c r="K280" s="44" t="str">
        <f aca="false">IF(J280="","",J280/'Start Here'!$C$6)</f>
        <v/>
      </c>
      <c r="L280" s="45"/>
      <c r="M280" s="45"/>
      <c r="N280" s="40"/>
      <c r="O280" s="46" t="str">
        <f aca="false">IF(B280="","",IF(B280='By Room'!$C$4,COUNTIF($B$5:B280,'By Room'!$C$4),""))</f>
        <v/>
      </c>
    </row>
    <row r="281" customFormat="false" ht="15" hidden="false" customHeight="false" outlineLevel="0" collapsed="false">
      <c r="A281" s="39"/>
      <c r="B281" s="39"/>
      <c r="C281" s="39"/>
      <c r="D281" s="40"/>
      <c r="E281" s="40"/>
      <c r="F281" s="40"/>
      <c r="G281" s="45"/>
      <c r="H281" s="39"/>
      <c r="I281" s="42"/>
      <c r="J281" s="43" t="str">
        <f aca="false">IF(OR(I281="",G281=""),"",G281*I281)</f>
        <v/>
      </c>
      <c r="K281" s="44" t="str">
        <f aca="false">IF(J281="","",J281/'Start Here'!$C$6)</f>
        <v/>
      </c>
      <c r="L281" s="45"/>
      <c r="M281" s="45"/>
      <c r="N281" s="40"/>
      <c r="O281" s="46" t="str">
        <f aca="false">IF(B281="","",IF(B281='By Room'!$C$4,COUNTIF($B$5:B281,'By Room'!$C$4),""))</f>
        <v/>
      </c>
    </row>
    <row r="282" customFormat="false" ht="15" hidden="false" customHeight="false" outlineLevel="0" collapsed="false">
      <c r="A282" s="39"/>
      <c r="B282" s="39"/>
      <c r="C282" s="39"/>
      <c r="D282" s="40"/>
      <c r="E282" s="40"/>
      <c r="F282" s="40"/>
      <c r="G282" s="45"/>
      <c r="H282" s="39"/>
      <c r="I282" s="42"/>
      <c r="J282" s="43" t="str">
        <f aca="false">IF(OR(I282="",G282=""),"",G282*I282)</f>
        <v/>
      </c>
      <c r="K282" s="44" t="str">
        <f aca="false">IF(J282="","",J282/'Start Here'!$C$6)</f>
        <v/>
      </c>
      <c r="L282" s="45"/>
      <c r="M282" s="45"/>
      <c r="N282" s="40"/>
      <c r="O282" s="46" t="str">
        <f aca="false">IF(B282="","",IF(B282='By Room'!$C$4,COUNTIF($B$5:B282,'By Room'!$C$4),""))</f>
        <v/>
      </c>
    </row>
    <row r="283" customFormat="false" ht="15" hidden="false" customHeight="false" outlineLevel="0" collapsed="false">
      <c r="A283" s="39"/>
      <c r="B283" s="39"/>
      <c r="C283" s="39"/>
      <c r="D283" s="40"/>
      <c r="E283" s="40"/>
      <c r="F283" s="40"/>
      <c r="G283" s="45"/>
      <c r="H283" s="39"/>
      <c r="I283" s="42"/>
      <c r="J283" s="43" t="str">
        <f aca="false">IF(OR(I283="",G283=""),"",G283*I283)</f>
        <v/>
      </c>
      <c r="K283" s="44" t="str">
        <f aca="false">IF(J283="","",J283/'Start Here'!$C$6)</f>
        <v/>
      </c>
      <c r="L283" s="45"/>
      <c r="M283" s="45"/>
      <c r="N283" s="40"/>
      <c r="O283" s="46" t="str">
        <f aca="false">IF(B283="","",IF(B283='By Room'!$C$4,COUNTIF($B$5:B283,'By Room'!$C$4),""))</f>
        <v/>
      </c>
    </row>
    <row r="284" customFormat="false" ht="15" hidden="false" customHeight="false" outlineLevel="0" collapsed="false">
      <c r="A284" s="39"/>
      <c r="B284" s="39"/>
      <c r="C284" s="39"/>
      <c r="D284" s="40"/>
      <c r="E284" s="40"/>
      <c r="F284" s="40"/>
      <c r="G284" s="45"/>
      <c r="H284" s="39"/>
      <c r="I284" s="42"/>
      <c r="J284" s="43" t="str">
        <f aca="false">IF(OR(I284="",G284=""),"",G284*I284)</f>
        <v/>
      </c>
      <c r="K284" s="44" t="str">
        <f aca="false">IF(J284="","",J284/'Start Here'!$C$6)</f>
        <v/>
      </c>
      <c r="L284" s="45"/>
      <c r="M284" s="45"/>
      <c r="N284" s="40"/>
      <c r="O284" s="46" t="str">
        <f aca="false">IF(B284="","",IF(B284='By Room'!$C$4,COUNTIF($B$5:B284,'By Room'!$C$4),""))</f>
        <v/>
      </c>
    </row>
    <row r="285" customFormat="false" ht="15" hidden="false" customHeight="false" outlineLevel="0" collapsed="false">
      <c r="A285" s="39"/>
      <c r="B285" s="39"/>
      <c r="C285" s="39"/>
      <c r="D285" s="40"/>
      <c r="E285" s="40"/>
      <c r="F285" s="40"/>
      <c r="G285" s="45"/>
      <c r="H285" s="39"/>
      <c r="I285" s="42"/>
      <c r="J285" s="43" t="str">
        <f aca="false">IF(OR(I285="",G285=""),"",G285*I285)</f>
        <v/>
      </c>
      <c r="K285" s="44" t="str">
        <f aca="false">IF(J285="","",J285/'Start Here'!$C$6)</f>
        <v/>
      </c>
      <c r="L285" s="45"/>
      <c r="M285" s="45"/>
      <c r="N285" s="40"/>
      <c r="O285" s="46" t="str">
        <f aca="false">IF(B285="","",IF(B285='By Room'!$C$4,COUNTIF($B$5:B285,'By Room'!$C$4),""))</f>
        <v/>
      </c>
    </row>
    <row r="286" customFormat="false" ht="15" hidden="false" customHeight="false" outlineLevel="0" collapsed="false">
      <c r="A286" s="39"/>
      <c r="B286" s="39"/>
      <c r="C286" s="39"/>
      <c r="D286" s="40"/>
      <c r="E286" s="40"/>
      <c r="F286" s="40"/>
      <c r="G286" s="45"/>
      <c r="H286" s="39"/>
      <c r="I286" s="42"/>
      <c r="J286" s="43" t="str">
        <f aca="false">IF(OR(I286="",G286=""),"",G286*I286)</f>
        <v/>
      </c>
      <c r="K286" s="44" t="str">
        <f aca="false">IF(J286="","",J286/'Start Here'!$C$6)</f>
        <v/>
      </c>
      <c r="L286" s="45"/>
      <c r="M286" s="45"/>
      <c r="N286" s="40"/>
      <c r="O286" s="46" t="str">
        <f aca="false">IF(B286="","",IF(B286='By Room'!$C$4,COUNTIF($B$5:B286,'By Room'!$C$4),""))</f>
        <v/>
      </c>
    </row>
    <row r="287" customFormat="false" ht="15" hidden="false" customHeight="false" outlineLevel="0" collapsed="false">
      <c r="A287" s="39"/>
      <c r="B287" s="39"/>
      <c r="C287" s="39"/>
      <c r="D287" s="40"/>
      <c r="E287" s="40"/>
      <c r="F287" s="40"/>
      <c r="G287" s="45"/>
      <c r="H287" s="39"/>
      <c r="I287" s="42"/>
      <c r="J287" s="43" t="str">
        <f aca="false">IF(OR(I287="",G287=""),"",G287*I287)</f>
        <v/>
      </c>
      <c r="K287" s="44" t="str">
        <f aca="false">IF(J287="","",J287/'Start Here'!$C$6)</f>
        <v/>
      </c>
      <c r="L287" s="45"/>
      <c r="M287" s="45"/>
      <c r="N287" s="40"/>
      <c r="O287" s="46" t="str">
        <f aca="false">IF(B287="","",IF(B287='By Room'!$C$4,COUNTIF($B$5:B287,'By Room'!$C$4),""))</f>
        <v/>
      </c>
    </row>
    <row r="288" customFormat="false" ht="15" hidden="false" customHeight="false" outlineLevel="0" collapsed="false">
      <c r="A288" s="39"/>
      <c r="B288" s="39"/>
      <c r="C288" s="39"/>
      <c r="D288" s="40"/>
      <c r="E288" s="40"/>
      <c r="F288" s="40"/>
      <c r="G288" s="45"/>
      <c r="H288" s="39"/>
      <c r="I288" s="42"/>
      <c r="J288" s="43" t="str">
        <f aca="false">IF(OR(I288="",G288=""),"",G288*I288)</f>
        <v/>
      </c>
      <c r="K288" s="44" t="str">
        <f aca="false">IF(J288="","",J288/'Start Here'!$C$6)</f>
        <v/>
      </c>
      <c r="L288" s="45"/>
      <c r="M288" s="45"/>
      <c r="N288" s="40"/>
      <c r="O288" s="46" t="str">
        <f aca="false">IF(B288="","",IF(B288='By Room'!$C$4,COUNTIF($B$5:B288,'By Room'!$C$4),""))</f>
        <v/>
      </c>
    </row>
    <row r="289" customFormat="false" ht="15" hidden="false" customHeight="false" outlineLevel="0" collapsed="false">
      <c r="A289" s="39"/>
      <c r="B289" s="39"/>
      <c r="C289" s="39"/>
      <c r="D289" s="40"/>
      <c r="E289" s="40"/>
      <c r="F289" s="40"/>
      <c r="G289" s="45"/>
      <c r="H289" s="39"/>
      <c r="I289" s="42"/>
      <c r="J289" s="43" t="str">
        <f aca="false">IF(OR(I289="",G289=""),"",G289*I289)</f>
        <v/>
      </c>
      <c r="K289" s="44" t="str">
        <f aca="false">IF(J289="","",J289/'Start Here'!$C$6)</f>
        <v/>
      </c>
      <c r="L289" s="45"/>
      <c r="M289" s="45"/>
      <c r="N289" s="40"/>
      <c r="O289" s="46" t="str">
        <f aca="false">IF(B289="","",IF(B289='By Room'!$C$4,COUNTIF($B$5:B289,'By Room'!$C$4),""))</f>
        <v/>
      </c>
    </row>
    <row r="290" customFormat="false" ht="15" hidden="false" customHeight="false" outlineLevel="0" collapsed="false">
      <c r="A290" s="39"/>
      <c r="B290" s="39"/>
      <c r="C290" s="39"/>
      <c r="D290" s="40"/>
      <c r="E290" s="40"/>
      <c r="F290" s="40"/>
      <c r="G290" s="45"/>
      <c r="H290" s="39"/>
      <c r="I290" s="42"/>
      <c r="J290" s="43" t="str">
        <f aca="false">IF(OR(I290="",G290=""),"",G290*I290)</f>
        <v/>
      </c>
      <c r="K290" s="44" t="str">
        <f aca="false">IF(J290="","",J290/'Start Here'!$C$6)</f>
        <v/>
      </c>
      <c r="L290" s="45"/>
      <c r="M290" s="45"/>
      <c r="N290" s="40"/>
      <c r="O290" s="46" t="str">
        <f aca="false">IF(B290="","",IF(B290='By Room'!$C$4,COUNTIF($B$5:B290,'By Room'!$C$4),""))</f>
        <v/>
      </c>
    </row>
    <row r="291" customFormat="false" ht="15" hidden="false" customHeight="false" outlineLevel="0" collapsed="false">
      <c r="A291" s="39"/>
      <c r="B291" s="39"/>
      <c r="C291" s="39"/>
      <c r="D291" s="40"/>
      <c r="E291" s="40"/>
      <c r="F291" s="40"/>
      <c r="G291" s="45"/>
      <c r="H291" s="39"/>
      <c r="I291" s="42"/>
      <c r="J291" s="43" t="str">
        <f aca="false">IF(OR(I291="",G291=""),"",G291*I291)</f>
        <v/>
      </c>
      <c r="K291" s="44" t="str">
        <f aca="false">IF(J291="","",J291/'Start Here'!$C$6)</f>
        <v/>
      </c>
      <c r="L291" s="45"/>
      <c r="M291" s="45"/>
      <c r="N291" s="40"/>
      <c r="O291" s="46" t="str">
        <f aca="false">IF(B291="","",IF(B291='By Room'!$C$4,COUNTIF($B$5:B291,'By Room'!$C$4),""))</f>
        <v/>
      </c>
    </row>
    <row r="292" customFormat="false" ht="15" hidden="false" customHeight="false" outlineLevel="0" collapsed="false">
      <c r="A292" s="39"/>
      <c r="B292" s="39"/>
      <c r="C292" s="39"/>
      <c r="D292" s="40"/>
      <c r="E292" s="40"/>
      <c r="F292" s="40"/>
      <c r="G292" s="45"/>
      <c r="H292" s="39"/>
      <c r="I292" s="42"/>
      <c r="J292" s="43" t="str">
        <f aca="false">IF(OR(I292="",G292=""),"",G292*I292)</f>
        <v/>
      </c>
      <c r="K292" s="44" t="str">
        <f aca="false">IF(J292="","",J292/'Start Here'!$C$6)</f>
        <v/>
      </c>
      <c r="L292" s="45"/>
      <c r="M292" s="45"/>
      <c r="N292" s="40"/>
      <c r="O292" s="46" t="str">
        <f aca="false">IF(B292="","",IF(B292='By Room'!$C$4,COUNTIF($B$5:B292,'By Room'!$C$4),""))</f>
        <v/>
      </c>
    </row>
    <row r="293" customFormat="false" ht="15" hidden="false" customHeight="false" outlineLevel="0" collapsed="false">
      <c r="A293" s="39"/>
      <c r="B293" s="39"/>
      <c r="C293" s="39"/>
      <c r="D293" s="40"/>
      <c r="E293" s="40"/>
      <c r="F293" s="40"/>
      <c r="G293" s="45"/>
      <c r="H293" s="39"/>
      <c r="I293" s="42"/>
      <c r="J293" s="43" t="str">
        <f aca="false">IF(OR(I293="",G293=""),"",G293*I293)</f>
        <v/>
      </c>
      <c r="K293" s="44" t="str">
        <f aca="false">IF(J293="","",J293/'Start Here'!$C$6)</f>
        <v/>
      </c>
      <c r="L293" s="45"/>
      <c r="M293" s="45"/>
      <c r="N293" s="40"/>
      <c r="O293" s="46" t="str">
        <f aca="false">IF(B293="","",IF(B293='By Room'!$C$4,COUNTIF($B$5:B293,'By Room'!$C$4),""))</f>
        <v/>
      </c>
    </row>
    <row r="294" customFormat="false" ht="15" hidden="false" customHeight="false" outlineLevel="0" collapsed="false">
      <c r="A294" s="39"/>
      <c r="B294" s="39"/>
      <c r="C294" s="39"/>
      <c r="D294" s="40"/>
      <c r="E294" s="40"/>
      <c r="F294" s="40"/>
      <c r="G294" s="45"/>
      <c r="H294" s="39"/>
      <c r="I294" s="42"/>
      <c r="J294" s="43" t="str">
        <f aca="false">IF(OR(I294="",G294=""),"",G294*I294)</f>
        <v/>
      </c>
      <c r="K294" s="44" t="str">
        <f aca="false">IF(J294="","",J294/'Start Here'!$C$6)</f>
        <v/>
      </c>
      <c r="L294" s="45"/>
      <c r="M294" s="45"/>
      <c r="N294" s="40"/>
      <c r="O294" s="46" t="str">
        <f aca="false">IF(B294="","",IF(B294='By Room'!$C$4,COUNTIF($B$5:B294,'By Room'!$C$4),""))</f>
        <v/>
      </c>
    </row>
    <row r="295" customFormat="false" ht="15" hidden="false" customHeight="false" outlineLevel="0" collapsed="false">
      <c r="A295" s="39"/>
      <c r="B295" s="39"/>
      <c r="C295" s="39"/>
      <c r="D295" s="40"/>
      <c r="E295" s="40"/>
      <c r="F295" s="40"/>
      <c r="G295" s="45"/>
      <c r="H295" s="39"/>
      <c r="I295" s="42"/>
      <c r="J295" s="43" t="str">
        <f aca="false">IF(OR(I295="",G295=""),"",G295*I295)</f>
        <v/>
      </c>
      <c r="K295" s="44" t="str">
        <f aca="false">IF(J295="","",J295/'Start Here'!$C$6)</f>
        <v/>
      </c>
      <c r="L295" s="45"/>
      <c r="M295" s="45"/>
      <c r="N295" s="40"/>
      <c r="O295" s="46" t="str">
        <f aca="false">IF(B295="","",IF(B295='By Room'!$C$4,COUNTIF($B$5:B295,'By Room'!$C$4),""))</f>
        <v/>
      </c>
    </row>
    <row r="296" customFormat="false" ht="15" hidden="false" customHeight="false" outlineLevel="0" collapsed="false">
      <c r="A296" s="39"/>
      <c r="B296" s="39"/>
      <c r="C296" s="39"/>
      <c r="D296" s="40"/>
      <c r="E296" s="40"/>
      <c r="F296" s="40"/>
      <c r="G296" s="45"/>
      <c r="H296" s="39"/>
      <c r="I296" s="42"/>
      <c r="J296" s="43" t="str">
        <f aca="false">IF(OR(I296="",G296=""),"",G296*I296)</f>
        <v/>
      </c>
      <c r="K296" s="44" t="str">
        <f aca="false">IF(J296="","",J296/'Start Here'!$C$6)</f>
        <v/>
      </c>
      <c r="L296" s="45"/>
      <c r="M296" s="45"/>
      <c r="N296" s="40"/>
      <c r="O296" s="46" t="str">
        <f aca="false">IF(B296="","",IF(B296='By Room'!$C$4,COUNTIF($B$5:B296,'By Room'!$C$4),""))</f>
        <v/>
      </c>
    </row>
    <row r="297" customFormat="false" ht="15" hidden="false" customHeight="false" outlineLevel="0" collapsed="false">
      <c r="A297" s="39"/>
      <c r="B297" s="39"/>
      <c r="C297" s="39"/>
      <c r="D297" s="40"/>
      <c r="E297" s="40"/>
      <c r="F297" s="40"/>
      <c r="G297" s="45"/>
      <c r="H297" s="39"/>
      <c r="I297" s="42"/>
      <c r="J297" s="43" t="str">
        <f aca="false">IF(OR(I297="",G297=""),"",G297*I297)</f>
        <v/>
      </c>
      <c r="K297" s="44" t="str">
        <f aca="false">IF(J297="","",J297/'Start Here'!$C$6)</f>
        <v/>
      </c>
      <c r="L297" s="45"/>
      <c r="M297" s="45"/>
      <c r="N297" s="40"/>
      <c r="O297" s="46" t="str">
        <f aca="false">IF(B297="","",IF(B297='By Room'!$C$4,COUNTIF($B$5:B297,'By Room'!$C$4),""))</f>
        <v/>
      </c>
    </row>
    <row r="298" customFormat="false" ht="15" hidden="false" customHeight="false" outlineLevel="0" collapsed="false">
      <c r="A298" s="39"/>
      <c r="B298" s="39"/>
      <c r="C298" s="39"/>
      <c r="D298" s="40"/>
      <c r="E298" s="40"/>
      <c r="F298" s="40"/>
      <c r="G298" s="45"/>
      <c r="H298" s="39"/>
      <c r="I298" s="42"/>
      <c r="J298" s="43" t="str">
        <f aca="false">IF(OR(I298="",G298=""),"",G298*I298)</f>
        <v/>
      </c>
      <c r="K298" s="44" t="str">
        <f aca="false">IF(J298="","",J298/'Start Here'!$C$6)</f>
        <v/>
      </c>
      <c r="L298" s="45"/>
      <c r="M298" s="45"/>
      <c r="N298" s="40"/>
      <c r="O298" s="46" t="str">
        <f aca="false">IF(B298="","",IF(B298='By Room'!$C$4,COUNTIF($B$5:B298,'By Room'!$C$4),""))</f>
        <v/>
      </c>
    </row>
    <row r="299" customFormat="false" ht="15" hidden="false" customHeight="false" outlineLevel="0" collapsed="false">
      <c r="A299" s="39"/>
      <c r="B299" s="39"/>
      <c r="C299" s="39"/>
      <c r="D299" s="40"/>
      <c r="E299" s="40"/>
      <c r="F299" s="40"/>
      <c r="G299" s="45"/>
      <c r="H299" s="39"/>
      <c r="I299" s="42"/>
      <c r="J299" s="43" t="str">
        <f aca="false">IF(OR(I299="",G299=""),"",G299*I299)</f>
        <v/>
      </c>
      <c r="K299" s="44" t="str">
        <f aca="false">IF(J299="","",J299/'Start Here'!$C$6)</f>
        <v/>
      </c>
      <c r="L299" s="45"/>
      <c r="M299" s="45"/>
      <c r="N299" s="40"/>
      <c r="O299" s="46" t="str">
        <f aca="false">IF(B299="","",IF(B299='By Room'!$C$4,COUNTIF($B$5:B299,'By Room'!$C$4),""))</f>
        <v/>
      </c>
    </row>
    <row r="300" customFormat="false" ht="15" hidden="false" customHeight="false" outlineLevel="0" collapsed="false">
      <c r="A300" s="39"/>
      <c r="B300" s="39"/>
      <c r="C300" s="39"/>
      <c r="D300" s="40"/>
      <c r="E300" s="40"/>
      <c r="F300" s="40"/>
      <c r="G300" s="45"/>
      <c r="H300" s="39"/>
      <c r="I300" s="42"/>
      <c r="J300" s="43" t="str">
        <f aca="false">IF(OR(I300="",G300=""),"",G300*I300)</f>
        <v/>
      </c>
      <c r="K300" s="44" t="str">
        <f aca="false">IF(J300="","",J300/'Start Here'!$C$6)</f>
        <v/>
      </c>
      <c r="L300" s="45"/>
      <c r="M300" s="45"/>
      <c r="N300" s="40"/>
      <c r="O300" s="46" t="str">
        <f aca="false">IF(B300="","",IF(B300='By Room'!$C$4,COUNTIF($B$5:B300,'By Room'!$C$4),""))</f>
        <v/>
      </c>
    </row>
    <row r="301" customFormat="false" ht="15" hidden="false" customHeight="false" outlineLevel="0" collapsed="false">
      <c r="A301" s="39"/>
      <c r="B301" s="39"/>
      <c r="C301" s="39"/>
      <c r="D301" s="40"/>
      <c r="E301" s="40"/>
      <c r="F301" s="40"/>
      <c r="G301" s="45"/>
      <c r="H301" s="39"/>
      <c r="I301" s="42"/>
      <c r="J301" s="43" t="str">
        <f aca="false">IF(OR(I301="",G301=""),"",G301*I301)</f>
        <v/>
      </c>
      <c r="K301" s="44" t="str">
        <f aca="false">IF(J301="","",J301/'Start Here'!$C$6)</f>
        <v/>
      </c>
      <c r="L301" s="45"/>
      <c r="M301" s="45"/>
      <c r="N301" s="40"/>
      <c r="O301" s="46" t="str">
        <f aca="false">IF(B301="","",IF(B301='By Room'!$C$4,COUNTIF($B$5:B301,'By Room'!$C$4),""))</f>
        <v/>
      </c>
    </row>
    <row r="302" customFormat="false" ht="15" hidden="false" customHeight="false" outlineLevel="0" collapsed="false">
      <c r="A302" s="39"/>
      <c r="B302" s="39"/>
      <c r="C302" s="39"/>
      <c r="D302" s="40"/>
      <c r="E302" s="40"/>
      <c r="F302" s="40"/>
      <c r="G302" s="45"/>
      <c r="H302" s="39"/>
      <c r="I302" s="42"/>
      <c r="J302" s="43" t="str">
        <f aca="false">IF(OR(I302="",G302=""),"",G302*I302)</f>
        <v/>
      </c>
      <c r="K302" s="44" t="str">
        <f aca="false">IF(J302="","",J302/'Start Here'!$C$6)</f>
        <v/>
      </c>
      <c r="L302" s="45"/>
      <c r="M302" s="45"/>
      <c r="N302" s="40"/>
      <c r="O302" s="46" t="str">
        <f aca="false">IF(B302="","",IF(B302='By Room'!$C$4,COUNTIF($B$5:B302,'By Room'!$C$4),""))</f>
        <v/>
      </c>
    </row>
    <row r="303" customFormat="false" ht="15" hidden="false" customHeight="false" outlineLevel="0" collapsed="false">
      <c r="A303" s="39"/>
      <c r="B303" s="39"/>
      <c r="C303" s="39"/>
      <c r="D303" s="40"/>
      <c r="E303" s="40"/>
      <c r="F303" s="40"/>
      <c r="G303" s="45"/>
      <c r="H303" s="39"/>
      <c r="I303" s="42"/>
      <c r="J303" s="43" t="str">
        <f aca="false">IF(OR(I303="",G303=""),"",G303*I303)</f>
        <v/>
      </c>
      <c r="K303" s="44" t="str">
        <f aca="false">IF(J303="","",J303/'Start Here'!$C$6)</f>
        <v/>
      </c>
      <c r="L303" s="45"/>
      <c r="M303" s="45"/>
      <c r="N303" s="40"/>
      <c r="O303" s="46" t="str">
        <f aca="false">IF(B303="","",IF(B303='By Room'!$C$4,COUNTIF($B$5:B303,'By Room'!$C$4),""))</f>
        <v/>
      </c>
    </row>
    <row r="304" customFormat="false" ht="15" hidden="false" customHeight="false" outlineLevel="0" collapsed="false">
      <c r="A304" s="39"/>
      <c r="B304" s="39"/>
      <c r="C304" s="39"/>
      <c r="D304" s="40"/>
      <c r="E304" s="40"/>
      <c r="F304" s="40"/>
      <c r="G304" s="45"/>
      <c r="H304" s="39"/>
      <c r="I304" s="42"/>
      <c r="J304" s="43" t="str">
        <f aca="false">IF(OR(I304="",G304=""),"",G304*I304)</f>
        <v/>
      </c>
      <c r="K304" s="44" t="str">
        <f aca="false">IF(J304="","",J304/'Start Here'!$C$6)</f>
        <v/>
      </c>
      <c r="L304" s="45"/>
      <c r="M304" s="45"/>
      <c r="N304" s="40"/>
      <c r="O304" s="46" t="str">
        <f aca="false">IF(B304="","",IF(B304='By Room'!$C$4,COUNTIF($B$5:B304,'By Room'!$C$4),""))</f>
        <v/>
      </c>
    </row>
    <row r="305" customFormat="false" ht="15" hidden="false" customHeight="false" outlineLevel="0" collapsed="false">
      <c r="A305" s="39"/>
      <c r="B305" s="39"/>
      <c r="C305" s="39"/>
      <c r="D305" s="40"/>
      <c r="E305" s="40"/>
      <c r="F305" s="40"/>
      <c r="G305" s="45"/>
      <c r="H305" s="39"/>
      <c r="I305" s="42"/>
      <c r="J305" s="43" t="str">
        <f aca="false">IF(OR(I305="",G305=""),"",G305*I305)</f>
        <v/>
      </c>
      <c r="K305" s="44" t="str">
        <f aca="false">IF(J305="","",J305/'Start Here'!$C$6)</f>
        <v/>
      </c>
      <c r="L305" s="45"/>
      <c r="M305" s="45"/>
      <c r="N305" s="40"/>
      <c r="O305" s="46" t="str">
        <f aca="false">IF(B305="","",IF(B305='By Room'!$C$4,COUNTIF($B$5:B305,'By Room'!$C$4),""))</f>
        <v/>
      </c>
    </row>
    <row r="306" customFormat="false" ht="15" hidden="false" customHeight="false" outlineLevel="0" collapsed="false">
      <c r="A306" s="39"/>
      <c r="B306" s="39"/>
      <c r="C306" s="39"/>
      <c r="D306" s="40"/>
      <c r="E306" s="40"/>
      <c r="F306" s="40"/>
      <c r="G306" s="45"/>
      <c r="H306" s="39"/>
      <c r="I306" s="42"/>
      <c r="J306" s="43" t="str">
        <f aca="false">IF(OR(I306="",G306=""),"",G306*I306)</f>
        <v/>
      </c>
      <c r="K306" s="44" t="str">
        <f aca="false">IF(J306="","",J306/'Start Here'!$C$6)</f>
        <v/>
      </c>
      <c r="L306" s="45"/>
      <c r="M306" s="45"/>
      <c r="N306" s="40"/>
      <c r="O306" s="46" t="str">
        <f aca="false">IF(B306="","",IF(B306='By Room'!$C$4,COUNTIF($B$5:B306,'By Room'!$C$4),""))</f>
        <v/>
      </c>
    </row>
    <row r="307" customFormat="false" ht="15" hidden="false" customHeight="false" outlineLevel="0" collapsed="false">
      <c r="A307" s="39"/>
      <c r="B307" s="39"/>
      <c r="C307" s="39"/>
      <c r="D307" s="40"/>
      <c r="E307" s="40"/>
      <c r="F307" s="40"/>
      <c r="G307" s="45"/>
      <c r="H307" s="39"/>
      <c r="I307" s="42"/>
      <c r="J307" s="43" t="str">
        <f aca="false">IF(OR(I307="",G307=""),"",G307*I307)</f>
        <v/>
      </c>
      <c r="K307" s="44" t="str">
        <f aca="false">IF(J307="","",J307/'Start Here'!$C$6)</f>
        <v/>
      </c>
      <c r="L307" s="45"/>
      <c r="M307" s="45"/>
      <c r="N307" s="40"/>
      <c r="O307" s="46" t="str">
        <f aca="false">IF(B307="","",IF(B307='By Room'!$C$4,COUNTIF($B$5:B307,'By Room'!$C$4),""))</f>
        <v/>
      </c>
    </row>
    <row r="308" customFormat="false" ht="15" hidden="false" customHeight="false" outlineLevel="0" collapsed="false">
      <c r="A308" s="39"/>
      <c r="B308" s="39"/>
      <c r="C308" s="39"/>
      <c r="D308" s="40"/>
      <c r="E308" s="40"/>
      <c r="F308" s="40"/>
      <c r="G308" s="45"/>
      <c r="H308" s="39"/>
      <c r="I308" s="42"/>
      <c r="J308" s="43" t="str">
        <f aca="false">IF(OR(I308="",G308=""),"",G308*I308)</f>
        <v/>
      </c>
      <c r="K308" s="44" t="str">
        <f aca="false">IF(J308="","",J308/'Start Here'!$C$6)</f>
        <v/>
      </c>
      <c r="L308" s="45"/>
      <c r="M308" s="45"/>
      <c r="N308" s="40"/>
      <c r="O308" s="46" t="str">
        <f aca="false">IF(B308="","",IF(B308='By Room'!$C$4,COUNTIF($B$5:B308,'By Room'!$C$4),""))</f>
        <v/>
      </c>
    </row>
    <row r="309" customFormat="false" ht="15" hidden="false" customHeight="false" outlineLevel="0" collapsed="false">
      <c r="A309" s="39"/>
      <c r="B309" s="39"/>
      <c r="C309" s="39"/>
      <c r="D309" s="40"/>
      <c r="E309" s="40"/>
      <c r="F309" s="40"/>
      <c r="G309" s="45"/>
      <c r="H309" s="39"/>
      <c r="I309" s="42"/>
      <c r="J309" s="43" t="str">
        <f aca="false">IF(OR(I309="",G309=""),"",G309*I309)</f>
        <v/>
      </c>
      <c r="K309" s="44" t="str">
        <f aca="false">IF(J309="","",J309/'Start Here'!$C$6)</f>
        <v/>
      </c>
      <c r="L309" s="45"/>
      <c r="M309" s="45"/>
      <c r="N309" s="40"/>
      <c r="O309" s="46" t="str">
        <f aca="false">IF(B309="","",IF(B309='By Room'!$C$4,COUNTIF($B$5:B309,'By Room'!$C$4),""))</f>
        <v/>
      </c>
    </row>
    <row r="310" customFormat="false" ht="15" hidden="false" customHeight="false" outlineLevel="0" collapsed="false">
      <c r="A310" s="39"/>
      <c r="B310" s="39"/>
      <c r="C310" s="39"/>
      <c r="D310" s="40"/>
      <c r="E310" s="40"/>
      <c r="F310" s="40"/>
      <c r="G310" s="45"/>
      <c r="H310" s="39"/>
      <c r="I310" s="42"/>
      <c r="J310" s="43" t="str">
        <f aca="false">IF(OR(I310="",G310=""),"",G310*I310)</f>
        <v/>
      </c>
      <c r="K310" s="44" t="str">
        <f aca="false">IF(J310="","",J310/'Start Here'!$C$6)</f>
        <v/>
      </c>
      <c r="L310" s="45"/>
      <c r="M310" s="45"/>
      <c r="N310" s="40"/>
      <c r="O310" s="46" t="str">
        <f aca="false">IF(B310="","",IF(B310='By Room'!$C$4,COUNTIF($B$5:B310,'By Room'!$C$4),""))</f>
        <v/>
      </c>
    </row>
    <row r="311" customFormat="false" ht="15" hidden="false" customHeight="false" outlineLevel="0" collapsed="false">
      <c r="A311" s="39"/>
      <c r="B311" s="39"/>
      <c r="C311" s="39"/>
      <c r="D311" s="40"/>
      <c r="E311" s="40"/>
      <c r="F311" s="40"/>
      <c r="G311" s="45"/>
      <c r="H311" s="39"/>
      <c r="I311" s="42"/>
      <c r="J311" s="43" t="str">
        <f aca="false">IF(OR(I311="",G311=""),"",G311*I311)</f>
        <v/>
      </c>
      <c r="K311" s="44" t="str">
        <f aca="false">IF(J311="","",J311/'Start Here'!$C$6)</f>
        <v/>
      </c>
      <c r="L311" s="45"/>
      <c r="M311" s="45"/>
      <c r="N311" s="40"/>
      <c r="O311" s="46" t="str">
        <f aca="false">IF(B311="","",IF(B311='By Room'!$C$4,COUNTIF($B$5:B311,'By Room'!$C$4),""))</f>
        <v/>
      </c>
    </row>
    <row r="312" customFormat="false" ht="15" hidden="false" customHeight="false" outlineLevel="0" collapsed="false">
      <c r="A312" s="39"/>
      <c r="B312" s="39"/>
      <c r="C312" s="39"/>
      <c r="D312" s="40"/>
      <c r="E312" s="40"/>
      <c r="F312" s="40"/>
      <c r="G312" s="45"/>
      <c r="H312" s="39"/>
      <c r="I312" s="42"/>
      <c r="J312" s="43" t="str">
        <f aca="false">IF(OR(I312="",G312=""),"",G312*I312)</f>
        <v/>
      </c>
      <c r="K312" s="44" t="str">
        <f aca="false">IF(J312="","",J312/'Start Here'!$C$6)</f>
        <v/>
      </c>
      <c r="L312" s="45"/>
      <c r="M312" s="45"/>
      <c r="N312" s="40"/>
      <c r="O312" s="46" t="str">
        <f aca="false">IF(B312="","",IF(B312='By Room'!$C$4,COUNTIF($B$5:B312,'By Room'!$C$4),""))</f>
        <v/>
      </c>
    </row>
    <row r="313" customFormat="false" ht="15" hidden="false" customHeight="false" outlineLevel="0" collapsed="false">
      <c r="A313" s="39"/>
      <c r="B313" s="39"/>
      <c r="C313" s="39"/>
      <c r="D313" s="40"/>
      <c r="E313" s="40"/>
      <c r="F313" s="40"/>
      <c r="G313" s="45"/>
      <c r="H313" s="39"/>
      <c r="I313" s="42"/>
      <c r="J313" s="43" t="str">
        <f aca="false">IF(OR(I313="",G313=""),"",G313*I313)</f>
        <v/>
      </c>
      <c r="K313" s="44" t="str">
        <f aca="false">IF(J313="","",J313/'Start Here'!$C$6)</f>
        <v/>
      </c>
      <c r="L313" s="45"/>
      <c r="M313" s="45"/>
      <c r="N313" s="40"/>
      <c r="O313" s="46" t="str">
        <f aca="false">IF(B313="","",IF(B313='By Room'!$C$4,COUNTIF($B$5:B313,'By Room'!$C$4),""))</f>
        <v/>
      </c>
    </row>
    <row r="314" customFormat="false" ht="15" hidden="false" customHeight="false" outlineLevel="0" collapsed="false">
      <c r="A314" s="39"/>
      <c r="B314" s="39"/>
      <c r="C314" s="39"/>
      <c r="D314" s="40"/>
      <c r="E314" s="40"/>
      <c r="F314" s="40"/>
      <c r="G314" s="45"/>
      <c r="H314" s="39"/>
      <c r="I314" s="42"/>
      <c r="J314" s="43" t="str">
        <f aca="false">IF(OR(I314="",G314=""),"",G314*I314)</f>
        <v/>
      </c>
      <c r="K314" s="44" t="str">
        <f aca="false">IF(J314="","",J314/'Start Here'!$C$6)</f>
        <v/>
      </c>
      <c r="L314" s="45"/>
      <c r="M314" s="45"/>
      <c r="N314" s="40"/>
      <c r="O314" s="46" t="str">
        <f aca="false">IF(B314="","",IF(B314='By Room'!$C$4,COUNTIF($B$5:B314,'By Room'!$C$4),""))</f>
        <v/>
      </c>
    </row>
    <row r="315" customFormat="false" ht="15" hidden="false" customHeight="false" outlineLevel="0" collapsed="false">
      <c r="A315" s="39"/>
      <c r="B315" s="39"/>
      <c r="C315" s="39"/>
      <c r="D315" s="40"/>
      <c r="E315" s="40"/>
      <c r="F315" s="40"/>
      <c r="G315" s="45"/>
      <c r="H315" s="39"/>
      <c r="I315" s="42"/>
      <c r="J315" s="43" t="str">
        <f aca="false">IF(OR(I315="",G315=""),"",G315*I315)</f>
        <v/>
      </c>
      <c r="K315" s="44" t="str">
        <f aca="false">IF(J315="","",J315/'Start Here'!$C$6)</f>
        <v/>
      </c>
      <c r="L315" s="45"/>
      <c r="M315" s="45"/>
      <c r="N315" s="40"/>
      <c r="O315" s="46" t="str">
        <f aca="false">IF(B315="","",IF(B315='By Room'!$C$4,COUNTIF($B$5:B315,'By Room'!$C$4),""))</f>
        <v/>
      </c>
    </row>
    <row r="316" customFormat="false" ht="15" hidden="false" customHeight="false" outlineLevel="0" collapsed="false">
      <c r="A316" s="39"/>
      <c r="B316" s="39"/>
      <c r="C316" s="39"/>
      <c r="D316" s="40"/>
      <c r="E316" s="40"/>
      <c r="F316" s="40"/>
      <c r="G316" s="45"/>
      <c r="H316" s="39"/>
      <c r="I316" s="42"/>
      <c r="J316" s="43" t="str">
        <f aca="false">IF(OR(I316="",G316=""),"",G316*I316)</f>
        <v/>
      </c>
      <c r="K316" s="44" t="str">
        <f aca="false">IF(J316="","",J316/'Start Here'!$C$6)</f>
        <v/>
      </c>
      <c r="L316" s="45"/>
      <c r="M316" s="45"/>
      <c r="N316" s="40"/>
      <c r="O316" s="46" t="str">
        <f aca="false">IF(B316="","",IF(B316='By Room'!$C$4,COUNTIF($B$5:B316,'By Room'!$C$4),""))</f>
        <v/>
      </c>
    </row>
  </sheetData>
  <autoFilter ref="A4:N316"/>
  <conditionalFormatting sqref="C5:C316">
    <cfRule type="cellIs" priority="2" operator="equal" aboveAverage="0" equalAverage="0" bottom="0" percent="0" rank="0" text="" dxfId="19">
      <formula>"Tiles"</formula>
    </cfRule>
    <cfRule type="cellIs" priority="3" operator="equal" aboveAverage="0" equalAverage="0" bottom="0" percent="0" rank="0" text="" dxfId="20">
      <formula>"Sanitary"</formula>
    </cfRule>
    <cfRule type="cellIs" priority="4" operator="equal" aboveAverage="0" equalAverage="0" bottom="0" percent="0" rank="0" text="" dxfId="21">
      <formula>"Lighting"</formula>
    </cfRule>
    <cfRule type="cellIs" priority="5" operator="equal" aboveAverage="0" equalAverage="0" bottom="0" percent="0" rank="0" text="" dxfId="22">
      <formula>"Windows"</formula>
    </cfRule>
    <cfRule type="cellIs" priority="6" operator="equal" aboveAverage="0" equalAverage="0" bottom="0" percent="0" rank="0" text="" dxfId="23">
      <formula>"Switches &amp; Sockets"</formula>
    </cfRule>
    <cfRule type="cellIs" priority="7" operator="equal" aboveAverage="0" equalAverage="0" bottom="0" percent="0" rank="0" text="" dxfId="24">
      <formula>"Door Hardware"</formula>
    </cfRule>
    <cfRule type="cellIs" priority="8" operator="equal" aboveAverage="0" equalAverage="0" bottom="0" percent="0" rank="0" text="" dxfId="25">
      <formula>"Kitchen"</formula>
    </cfRule>
    <cfRule type="cellIs" priority="9" operator="equal" aboveAverage="0" equalAverage="0" bottom="0" percent="0" rank="0" text="" dxfId="26">
      <formula>"Dining"</formula>
    </cfRule>
    <cfRule type="cellIs" priority="10" operator="equal" aboveAverage="0" equalAverage="0" bottom="0" percent="0" rank="0" text="" dxfId="27">
      <formula>"Living Room"</formula>
    </cfRule>
    <cfRule type="cellIs" priority="11" operator="equal" aboveAverage="0" equalAverage="0" bottom="0" percent="0" rank="0" text="" dxfId="28">
      <formula>"Master Bedroom"</formula>
    </cfRule>
    <cfRule type="cellIs" priority="12" operator="equal" aboveAverage="0" equalAverage="0" bottom="0" percent="0" rank="0" text="" dxfId="29">
      <formula>"Water Treatment (RO)"</formula>
    </cfRule>
    <cfRule type="cellIs" priority="13" operator="equal" aboveAverage="0" equalAverage="0" bottom="0" percent="0" rank="0" text="" dxfId="30">
      <formula>"Tools &amp; Spares"</formula>
    </cfRule>
  </conditionalFormatting>
  <conditionalFormatting sqref="M5:M316">
    <cfRule type="cellIs" priority="14" operator="equal" aboveAverage="0" equalAverage="0" bottom="0" percent="0" rank="0" text="" dxfId="31">
      <formula>"Received"</formula>
    </cfRule>
  </conditionalFormatting>
  <conditionalFormatting sqref="D5:D316">
    <cfRule type="expression" priority="15" aboveAverage="0" equalAverage="0" bottom="0" percent="0" rank="0" text="" dxfId="32">
      <formula>ISNUMBER(SEARCH("(optional)",D5))</formula>
    </cfRule>
  </conditionalFormatting>
  <dataValidations count="4">
    <dataValidation allowBlank="true" errorStyle="stop" operator="between" showDropDown="false" showErrorMessage="false" showInputMessage="false" sqref="B5:B316" type="list">
      <formula1>Rooms!$A$5:$A$47</formula1>
      <formula2>0</formula2>
    </dataValidation>
    <dataValidation allowBlank="true" errorStyle="stop" operator="between" showDropDown="false" showErrorMessage="false" showInputMessage="false" sqref="C5:C316" type="list">
      <formula1>Lists!$A$2:$A$13</formula1>
      <formula2>0</formula2>
    </dataValidation>
    <dataValidation allowBlank="true" errorStyle="stop" operator="between" showDropDown="false" showErrorMessage="false" showInputMessage="false" sqref="H5:H316" type="list">
      <formula1>Lists!$C$2:$C$6</formula1>
      <formula2>0</formula2>
    </dataValidation>
    <dataValidation allowBlank="true" errorStyle="stop" operator="between" showDropDown="false" showErrorMessage="false" showInputMessage="false" sqref="M5:M316" type="list">
      <formula1>Lists!$B$2:$B$6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5F"/>
    <pageSetUpPr fitToPage="true"/>
  </sheetPr>
  <dimension ref="A1:J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2"/>
    <col collapsed="false" customWidth="true" hidden="false" outlineLevel="0" max="3" min="3" style="0" width="50"/>
    <col collapsed="false" customWidth="true" hidden="false" outlineLevel="0" max="4" min="4" style="0" width="28"/>
    <col collapsed="false" customWidth="true" hidden="false" outlineLevel="0" max="5" min="5" style="0" width="7"/>
    <col collapsed="false" customWidth="true" hidden="false" outlineLevel="0" max="6" min="6" style="0" width="6"/>
    <col collapsed="false" customWidth="true" hidden="false" outlineLevel="0" max="7" min="7" style="0" width="11"/>
    <col collapsed="false" customWidth="true" hidden="false" outlineLevel="0" max="8" min="8" style="0" width="16"/>
    <col collapsed="false" customWidth="true" hidden="false" outlineLevel="0" max="9" min="9" style="0" width="11"/>
    <col collapsed="false" customWidth="true" hidden="false" outlineLevel="0" max="10" min="10" style="0" width="40"/>
  </cols>
  <sheetData>
    <row r="1" customFormat="false" ht="18.55" hidden="false" customHeight="false" outlineLevel="0" collapsed="false">
      <c r="A1" s="37" t="s">
        <v>684</v>
      </c>
    </row>
    <row r="2" customFormat="false" ht="15" hidden="false" customHeight="false" outlineLevel="0" collapsed="false">
      <c r="A2" s="2" t="s">
        <v>685</v>
      </c>
    </row>
    <row r="4" customFormat="false" ht="16.15" hidden="false" customHeight="false" outlineLevel="0" collapsed="false">
      <c r="A4" s="47" t="s">
        <v>686</v>
      </c>
      <c r="C4" s="48" t="s">
        <v>75</v>
      </c>
      <c r="D4" s="48"/>
      <c r="E4" s="48"/>
    </row>
    <row r="5" customFormat="false" ht="15" hidden="false" customHeight="false" outlineLevel="0" collapsed="false">
      <c r="A5" s="5" t="s">
        <v>687</v>
      </c>
      <c r="C5" s="49" t="n">
        <f aca="false">COUNTIF('Shopping List'!$B$5:$B$316,C4)</f>
        <v>17</v>
      </c>
      <c r="D5" s="5" t="s">
        <v>688</v>
      </c>
      <c r="E5" s="50" t="n">
        <f aca="false">SUMIFS('Shopping List'!$J$5:$J$316,'Shopping List'!$B$5:$B$316,C4)</f>
        <v>0</v>
      </c>
      <c r="F5" s="5" t="s">
        <v>689</v>
      </c>
      <c r="G5" s="51" t="n">
        <f aca="false">SUMIFS('Shopping List'!$K$5:$K$316,'Shopping List'!$B$5:$B$316,C4)</f>
        <v>0</v>
      </c>
      <c r="H5" s="5" t="s">
        <v>690</v>
      </c>
      <c r="I5" s="0" t="str">
        <f aca="false">COUNTIFS('Shopping List'!$B$5:$B$316,C4,'Shopping List'!$M$5:$M$316,"Received")&amp;" of "&amp;C5</f>
        <v>0 of 17</v>
      </c>
    </row>
    <row r="7" customFormat="false" ht="30" hidden="false" customHeight="true" outlineLevel="0" collapsed="false">
      <c r="A7" s="38" t="s">
        <v>691</v>
      </c>
      <c r="B7" s="38" t="s">
        <v>49</v>
      </c>
      <c r="C7" s="38" t="s">
        <v>50</v>
      </c>
      <c r="D7" s="38" t="s">
        <v>51</v>
      </c>
      <c r="E7" s="38" t="s">
        <v>52</v>
      </c>
      <c r="F7" s="38" t="s">
        <v>53</v>
      </c>
      <c r="G7" s="38" t="s">
        <v>54</v>
      </c>
      <c r="H7" s="38" t="s">
        <v>55</v>
      </c>
      <c r="I7" s="38" t="s">
        <v>56</v>
      </c>
      <c r="J7" s="38" t="s">
        <v>57</v>
      </c>
    </row>
    <row r="8" customFormat="false" ht="23.85" hidden="false" customHeight="false" outlineLevel="0" collapsed="false">
      <c r="A8" s="52" t="n">
        <v>1</v>
      </c>
      <c r="B8" s="53" t="str">
        <f aca="false">IFERROR(IF(INDEX('Shopping List'!$D$5:$D$316,MATCH($A8,'Shopping List'!$O$5:$O$316,0))="","",INDEX('Shopping List'!$D$5:$D$316,MATCH($A8,'Shopping List'!$O$5:$O$316,0))),"")</f>
        <v>Floor - big porcelain slab (+ extra % for cuts)</v>
      </c>
      <c r="C8" s="53" t="str">
        <f aca="false">IFERROR(IF(INDEX('Shopping List'!$E$5:$E$316,MATCH($A8,'Shopping List'!$O$5:$O$316,0))="","",INDEX('Shopping List'!$E$5:$E$316,MATCH($A8,'Shopping List'!$O$5:$O$316,0))),"")</f>
        <v>Porcelain slab, rectified, absorption &lt;0.5%, marble-look</v>
      </c>
      <c r="D8" s="53" t="str">
        <f aca="false">IFERROR(IF(INDEX('Shopping List'!$F$5:$F$316,MATCH($A8,'Shopping List'!$O$5:$O$316,0))="","",INDEX('Shopping List'!$F$5:$F$316,MATCH($A8,'Shopping List'!$O$5:$O$316,0))),"")</f>
        <v>1200 x 2400 mm, satin finish</v>
      </c>
      <c r="E8" s="46" t="n">
        <f aca="false">IFERROR(IF(INDEX('Shopping List'!$G$5:$G$316,MATCH($A8,'Shopping List'!$O$5:$O$316,0))="","",INDEX('Shopping List'!$G$5:$G$316,MATCH($A8,'Shopping List'!$O$5:$O$316,0))),"")</f>
        <v>25</v>
      </c>
      <c r="F8" s="46" t="str">
        <f aca="false">IFERROR(IF(INDEX('Shopping List'!$H$5:$H$316,MATCH($A8,'Shopping List'!$O$5:$O$316,0))="","",INDEX('Shopping List'!$H$5:$H$316,MATCH($A8,'Shopping List'!$O$5:$O$316,0))),"")</f>
        <v>m²</v>
      </c>
      <c r="G8" s="54" t="str">
        <f aca="false">IFERROR(IF(INDEX('Shopping List'!$I$5:$I$316,MATCH($A8,'Shopping List'!$O$5:$O$316,0))="","",INDEX('Shopping List'!$I$5:$I$316,MATCH($A8,'Shopping List'!$O$5:$O$316,0))),"")</f>
        <v/>
      </c>
      <c r="H8" s="46" t="str">
        <f aca="false">IFERROR(IF(INDEX('Shopping List'!$L$5:$L$316,MATCH($A8,'Shopping List'!$O$5:$O$316,0))="","",INDEX('Shopping List'!$L$5:$L$316,MATCH($A8,'Shopping List'!$O$5:$O$316,0))),"")</f>
        <v/>
      </c>
      <c r="I8" s="46" t="str">
        <f aca="false">IFERROR(IF(INDEX('Shopping List'!$M$5:$M$316,MATCH($A8,'Shopping List'!$O$5:$O$316,0))="","",INDEX('Shopping List'!$M$5:$M$316,MATCH($A8,'Shopping List'!$O$5:$O$316,0))),"")</f>
        <v>To buy</v>
      </c>
      <c r="J8" s="53" t="str">
        <f aca="false">IFERROR(IF(INDEX('Shopping List'!$N$5:$N$316,MATCH($A8,'Shopping List'!$O$5:$O$316,0))="","",INDEX('Shopping List'!$N$5:$N$316,MATCH($A8,'Shopping List'!$O$5:$O$316,0))),"")</f>
        <v>Qty follows the area on the Rooms sheet (estimated - measure on site)</v>
      </c>
    </row>
    <row r="9" customFormat="false" ht="15" hidden="false" customHeight="false" outlineLevel="0" collapsed="false">
      <c r="A9" s="52" t="n">
        <v>2</v>
      </c>
      <c r="B9" s="53" t="str">
        <f aca="false">IFERROR(IF(INDEX('Shopping List'!$D$5:$D$316,MATCH($A9,'Shopping List'!$O$5:$O$316,0))="","",INDEX('Shopping List'!$D$5:$D$316,MATCH($A9,'Shopping List'!$O$5:$O$316,0))),"")</f>
        <v>Kitchen backsplash slab (+ extra %)</v>
      </c>
      <c r="C9" s="53" t="str">
        <f aca="false">IFERROR(IF(INDEX('Shopping List'!$E$5:$E$316,MATCH($A9,'Shopping List'!$O$5:$O$316,0))="","",INDEX('Shopping List'!$E$5:$E$316,MATCH($A9,'Shopping List'!$O$5:$O$316,0))),"")</f>
        <v>Sintered stone or porcelain slab matching worktop</v>
      </c>
      <c r="D9" s="53" t="str">
        <f aca="false">IFERROR(IF(INDEX('Shopping List'!$F$5:$F$316,MATCH($A9,'Shopping List'!$O$5:$O$316,0))="","",INDEX('Shopping List'!$F$5:$F$316,MATCH($A9,'Shopping List'!$O$5:$O$316,0))),"")</f>
        <v>1200 x 2400 mm</v>
      </c>
      <c r="E9" s="46" t="n">
        <f aca="false">IFERROR(IF(INDEX('Shopping List'!$G$5:$G$316,MATCH($A9,'Shopping List'!$O$5:$O$316,0))="","",INDEX('Shopping List'!$G$5:$G$316,MATCH($A9,'Shopping List'!$O$5:$O$316,0))),"")</f>
        <v>7</v>
      </c>
      <c r="F9" s="46" t="str">
        <f aca="false">IFERROR(IF(INDEX('Shopping List'!$H$5:$H$316,MATCH($A9,'Shopping List'!$O$5:$O$316,0))="","",INDEX('Shopping List'!$H$5:$H$316,MATCH($A9,'Shopping List'!$O$5:$O$316,0))),"")</f>
        <v>m²</v>
      </c>
      <c r="G9" s="54" t="str">
        <f aca="false">IFERROR(IF(INDEX('Shopping List'!$I$5:$I$316,MATCH($A9,'Shopping List'!$O$5:$O$316,0))="","",INDEX('Shopping List'!$I$5:$I$316,MATCH($A9,'Shopping List'!$O$5:$O$316,0))),"")</f>
        <v/>
      </c>
      <c r="H9" s="46" t="str">
        <f aca="false">IFERROR(IF(INDEX('Shopping List'!$L$5:$L$316,MATCH($A9,'Shopping List'!$O$5:$O$316,0))="","",INDEX('Shopping List'!$L$5:$L$316,MATCH($A9,'Shopping List'!$O$5:$O$316,0))),"")</f>
        <v/>
      </c>
      <c r="I9" s="46" t="str">
        <f aca="false">IFERROR(IF(INDEX('Shopping List'!$M$5:$M$316,MATCH($A9,'Shopping List'!$O$5:$O$316,0))="","",INDEX('Shopping List'!$M$5:$M$316,MATCH($A9,'Shopping List'!$O$5:$O$316,0))),"")</f>
        <v>To buy</v>
      </c>
      <c r="J9" s="53" t="str">
        <f aca="false">IFERROR(IF(INDEX('Shopping List'!$N$5:$N$316,MATCH($A9,'Shopping List'!$O$5:$O$316,0))="","",INDEX('Shopping List'!$N$5:$N$316,MATCH($A9,'Shopping List'!$O$5:$O$316,0))),"")</f>
        <v>Qty follows Rooms sheet</v>
      </c>
    </row>
    <row r="10" customFormat="false" ht="15" hidden="false" customHeight="false" outlineLevel="0" collapsed="false">
      <c r="A10" s="52" t="n">
        <v>3</v>
      </c>
      <c r="B10" s="53" t="str">
        <f aca="false">IFERROR(IF(INDEX('Shopping List'!$D$5:$D$316,MATCH($A10,'Shopping List'!$O$5:$O$316,0))="","",INDEX('Shopping List'!$D$5:$D$316,MATCH($A10,'Shopping List'!$O$5:$O$316,0))),"")</f>
        <v>Pendants over island (optional)</v>
      </c>
      <c r="C10" s="53" t="str">
        <f aca="false">IFERROR(IF(INDEX('Shopping List'!$E$5:$E$316,MATCH($A10,'Shopping List'!$O$5:$O$316,0))="","",INDEX('Shopping List'!$E$5:$E$316,MATCH($A10,'Shopping List'!$O$5:$O$316,0))),"")</f>
        <v>LED</v>
      </c>
      <c r="D10" s="53" t="str">
        <f aca="false">IFERROR(IF(INDEX('Shopping List'!$F$5:$F$316,MATCH($A10,'Shopping List'!$O$5:$O$316,0))="","",INDEX('Shopping List'!$F$5:$F$316,MATCH($A10,'Shopping List'!$O$5:$O$316,0))),"")</f>
        <v>Designer to select</v>
      </c>
      <c r="E10" s="46" t="n">
        <f aca="false">IFERROR(IF(INDEX('Shopping List'!$G$5:$G$316,MATCH($A10,'Shopping List'!$O$5:$O$316,0))="","",INDEX('Shopping List'!$G$5:$G$316,MATCH($A10,'Shopping List'!$O$5:$O$316,0))),"")</f>
        <v>3</v>
      </c>
      <c r="F10" s="46" t="str">
        <f aca="false">IFERROR(IF(INDEX('Shopping List'!$H$5:$H$316,MATCH($A10,'Shopping List'!$O$5:$O$316,0))="","",INDEX('Shopping List'!$H$5:$H$316,MATCH($A10,'Shopping List'!$O$5:$O$316,0))),"")</f>
        <v>pcs</v>
      </c>
      <c r="G10" s="54" t="str">
        <f aca="false">IFERROR(IF(INDEX('Shopping List'!$I$5:$I$316,MATCH($A10,'Shopping List'!$O$5:$O$316,0))="","",INDEX('Shopping List'!$I$5:$I$316,MATCH($A10,'Shopping List'!$O$5:$O$316,0))),"")</f>
        <v/>
      </c>
      <c r="H10" s="46" t="str">
        <f aca="false">IFERROR(IF(INDEX('Shopping List'!$L$5:$L$316,MATCH($A10,'Shopping List'!$O$5:$O$316,0))="","",INDEX('Shopping List'!$L$5:$L$316,MATCH($A10,'Shopping List'!$O$5:$O$316,0))),"")</f>
        <v/>
      </c>
      <c r="I10" s="46" t="str">
        <f aca="false">IFERROR(IF(INDEX('Shopping List'!$M$5:$M$316,MATCH($A10,'Shopping List'!$O$5:$O$316,0))="","",INDEX('Shopping List'!$M$5:$M$316,MATCH($A10,'Shopping List'!$O$5:$O$316,0))),"")</f>
        <v>To buy</v>
      </c>
      <c r="J10" s="53" t="str">
        <f aca="false">IFERROR(IF(INDEX('Shopping List'!$N$5:$N$316,MATCH($A10,'Shopping List'!$O$5:$O$316,0))="","",INDEX('Shopping List'!$N$5:$N$316,MATCH($A10,'Shopping List'!$O$5:$O$316,0))),"")</f>
        <v>Only if a ceiling point exists over the island</v>
      </c>
    </row>
    <row r="11" customFormat="false" ht="15" hidden="false" customHeight="false" outlineLevel="0" collapsed="false">
      <c r="A11" s="52" t="n">
        <v>4</v>
      </c>
      <c r="B11" s="53" t="str">
        <f aca="false">IFERROR(IF(INDEX('Shopping List'!$D$5:$D$316,MATCH($A11,'Shopping List'!$O$5:$O$316,0))="","",INDEX('Shopping List'!$D$5:$D$316,MATCH($A11,'Shopping List'!$O$5:$O$316,0))),"")</f>
        <v>Under-cabinet LED strip + profile + driver</v>
      </c>
      <c r="C11" s="53" t="str">
        <f aca="false">IFERROR(IF(INDEX('Shopping List'!$E$5:$E$316,MATCH($A11,'Shopping List'!$O$5:$O$316,0))="","",INDEX('Shopping List'!$E$5:$E$316,MATCH($A11,'Shopping List'!$O$5:$O$316,0))),"")</f>
        <v>24V, CRI&gt;90, aluminium profile with diffuser</v>
      </c>
      <c r="D11" s="53" t="str">
        <f aca="false">IFERROR(IF(INDEX('Shopping List'!$F$5:$F$316,MATCH($A11,'Shopping List'!$O$5:$O$316,0))="","",INDEX('Shopping List'!$F$5:$F$316,MATCH($A11,'Shopping List'!$O$5:$O$316,0))),"")</f>
        <v>3000K</v>
      </c>
      <c r="E11" s="46" t="n">
        <f aca="false">IFERROR(IF(INDEX('Shopping List'!$G$5:$G$316,MATCH($A11,'Shopping List'!$O$5:$O$316,0))="","",INDEX('Shopping List'!$G$5:$G$316,MATCH($A11,'Shopping List'!$O$5:$O$316,0))),"")</f>
        <v>7</v>
      </c>
      <c r="F11" s="46" t="str">
        <f aca="false">IFERROR(IF(INDEX('Shopping List'!$H$5:$H$316,MATCH($A11,'Shopping List'!$O$5:$O$316,0))="","",INDEX('Shopping List'!$H$5:$H$316,MATCH($A11,'Shopping List'!$O$5:$O$316,0))),"")</f>
        <v>m</v>
      </c>
      <c r="G11" s="54" t="str">
        <f aca="false">IFERROR(IF(INDEX('Shopping List'!$I$5:$I$316,MATCH($A11,'Shopping List'!$O$5:$O$316,0))="","",INDEX('Shopping List'!$I$5:$I$316,MATCH($A11,'Shopping List'!$O$5:$O$316,0))),"")</f>
        <v/>
      </c>
      <c r="H11" s="46" t="str">
        <f aca="false">IFERROR(IF(INDEX('Shopping List'!$L$5:$L$316,MATCH($A11,'Shopping List'!$O$5:$O$316,0))="","",INDEX('Shopping List'!$L$5:$L$316,MATCH($A11,'Shopping List'!$O$5:$O$316,0))),"")</f>
        <v/>
      </c>
      <c r="I11" s="46" t="str">
        <f aca="false">IFERROR(IF(INDEX('Shopping List'!$M$5:$M$316,MATCH($A11,'Shopping List'!$O$5:$O$316,0))="","",INDEX('Shopping List'!$M$5:$M$316,MATCH($A11,'Shopping List'!$O$5:$O$316,0))),"")</f>
        <v>To buy</v>
      </c>
      <c r="J11" s="53" t="str">
        <f aca="false">IFERROR(IF(INDEX('Shopping List'!$N$5:$N$316,MATCH($A11,'Shopping List'!$O$5:$O$316,0))="","",INDEX('Shopping List'!$N$5:$N$316,MATCH($A11,'Shopping List'!$O$5:$O$316,0))),"")</f>
        <v/>
      </c>
    </row>
    <row r="12" customFormat="false" ht="23.85" hidden="false" customHeight="false" outlineLevel="0" collapsed="false">
      <c r="A12" s="52" t="n">
        <v>5</v>
      </c>
      <c r="B12" s="53" t="str">
        <f aca="false">IFERROR(IF(INDEX('Shopping List'!$D$5:$D$316,MATCH($A12,'Shopping List'!$O$5:$O$316,0))="","",INDEX('Shopping List'!$D$5:$D$316,MATCH($A12,'Shopping List'!$O$5:$O$316,0))),"")</f>
        <v>Base cabinets - L-shape run</v>
      </c>
      <c r="C12" s="53" t="str">
        <f aca="false">IFERROR(IF(INDEX('Shopping List'!$E$5:$E$316,MATCH($A12,'Shopping List'!$O$5:$O$316,0))="","",INDEX('Shopping List'!$E$5:$E$316,MATCH($A12,'Shopping List'!$O$5:$O$316,0))),"")</f>
        <v>No particleboard/MDF - aluminium honeycomb, stainless or E0 marine-ply carcass; Blum/Hettich soft-close</v>
      </c>
      <c r="D12" s="53" t="str">
        <f aca="false">IFERROR(IF(INDEX('Shopping List'!$F$5:$F$316,MATCH($A12,'Shopping List'!$O$5:$O$316,0))="","",INDEX('Shopping List'!$F$5:$F$316,MATCH($A12,'Shopping List'!$O$5:$O$316,0))),"")</f>
        <v>2000 + 4840 mm runs, 600 deep, 900 high</v>
      </c>
      <c r="E12" s="46" t="n">
        <f aca="false">IFERROR(IF(INDEX('Shopping List'!$G$5:$G$316,MATCH($A12,'Shopping List'!$O$5:$O$316,0))="","",INDEX('Shopping List'!$G$5:$G$316,MATCH($A12,'Shopping List'!$O$5:$O$316,0))),"")</f>
        <v>1</v>
      </c>
      <c r="F12" s="46" t="str">
        <f aca="false">IFERROR(IF(INDEX('Shopping List'!$H$5:$H$316,MATCH($A12,'Shopping List'!$O$5:$O$316,0))="","",INDEX('Shopping List'!$H$5:$H$316,MATCH($A12,'Shopping List'!$O$5:$O$316,0))),"")</f>
        <v>set</v>
      </c>
      <c r="G12" s="54" t="str">
        <f aca="false">IFERROR(IF(INDEX('Shopping List'!$I$5:$I$316,MATCH($A12,'Shopping List'!$O$5:$O$316,0))="","",INDEX('Shopping List'!$I$5:$I$316,MATCH($A12,'Shopping List'!$O$5:$O$316,0))),"")</f>
        <v/>
      </c>
      <c r="H12" s="46" t="str">
        <f aca="false">IFERROR(IF(INDEX('Shopping List'!$L$5:$L$316,MATCH($A12,'Shopping List'!$O$5:$O$316,0))="","",INDEX('Shopping List'!$L$5:$L$316,MATCH($A12,'Shopping List'!$O$5:$O$316,0))),"")</f>
        <v/>
      </c>
      <c r="I12" s="46" t="str">
        <f aca="false">IFERROR(IF(INDEX('Shopping List'!$M$5:$M$316,MATCH($A12,'Shopping List'!$O$5:$O$316,0))="","",INDEX('Shopping List'!$M$5:$M$316,MATCH($A12,'Shopping List'!$O$5:$O$316,0))),"")</f>
        <v>To buy</v>
      </c>
      <c r="J12" s="53" t="str">
        <f aca="false">IFERROR(IF(INDEX('Shopping List'!$N$5:$N$316,MATCH($A12,'Shopping List'!$O$5:$O$316,0))="","",INDEX('Shopping List'!$N$5:$N$316,MATCH($A12,'Shopping List'!$O$5:$O$316,0))),"")</f>
        <v>Supplier works from drawing A-101 - confirm sink &amp; hob positions</v>
      </c>
    </row>
    <row r="13" customFormat="false" ht="23.85" hidden="false" customHeight="false" outlineLevel="0" collapsed="false">
      <c r="A13" s="52" t="n">
        <v>6</v>
      </c>
      <c r="B13" s="53" t="str">
        <f aca="false">IFERROR(IF(INDEX('Shopping List'!$D$5:$D$316,MATCH($A13,'Shopping List'!$O$5:$O$316,0))="","",INDEX('Shopping List'!$D$5:$D$316,MATCH($A13,'Shopping List'!$O$5:$O$316,0))),"")</f>
        <v>Wall cabinets</v>
      </c>
      <c r="C13" s="53" t="str">
        <f aca="false">IFERROR(IF(INDEX('Shopping List'!$E$5:$E$316,MATCH($A13,'Shopping List'!$O$5:$O$316,0))="","",INDEX('Shopping List'!$E$5:$E$316,MATCH($A13,'Shopping List'!$O$5:$O$316,0))),"")</f>
        <v>No particleboard/MDF - aluminium honeycomb, stainless or E0 marine-ply carcass; Blum/Hettich soft-close</v>
      </c>
      <c r="D13" s="53" t="str">
        <f aca="false">IFERROR(IF(INDEX('Shopping List'!$F$5:$F$316,MATCH($A13,'Shopping List'!$O$5:$O$316,0))="","",INDEX('Shopping List'!$F$5:$F$316,MATCH($A13,'Shopping List'!$O$5:$O$316,0))),"")</f>
        <v>Per layout, 720-900 high</v>
      </c>
      <c r="E13" s="46" t="n">
        <f aca="false">IFERROR(IF(INDEX('Shopping List'!$G$5:$G$316,MATCH($A13,'Shopping List'!$O$5:$O$316,0))="","",INDEX('Shopping List'!$G$5:$G$316,MATCH($A13,'Shopping List'!$O$5:$O$316,0))),"")</f>
        <v>1</v>
      </c>
      <c r="F13" s="46" t="str">
        <f aca="false">IFERROR(IF(INDEX('Shopping List'!$H$5:$H$316,MATCH($A13,'Shopping List'!$O$5:$O$316,0))="","",INDEX('Shopping List'!$H$5:$H$316,MATCH($A13,'Shopping List'!$O$5:$O$316,0))),"")</f>
        <v>set</v>
      </c>
      <c r="G13" s="54" t="str">
        <f aca="false">IFERROR(IF(INDEX('Shopping List'!$I$5:$I$316,MATCH($A13,'Shopping List'!$O$5:$O$316,0))="","",INDEX('Shopping List'!$I$5:$I$316,MATCH($A13,'Shopping List'!$O$5:$O$316,0))),"")</f>
        <v/>
      </c>
      <c r="H13" s="46" t="str">
        <f aca="false">IFERROR(IF(INDEX('Shopping List'!$L$5:$L$316,MATCH($A13,'Shopping List'!$O$5:$O$316,0))="","",INDEX('Shopping List'!$L$5:$L$316,MATCH($A13,'Shopping List'!$O$5:$O$316,0))),"")</f>
        <v/>
      </c>
      <c r="I13" s="46" t="str">
        <f aca="false">IFERROR(IF(INDEX('Shopping List'!$M$5:$M$316,MATCH($A13,'Shopping List'!$O$5:$O$316,0))="","",INDEX('Shopping List'!$M$5:$M$316,MATCH($A13,'Shopping List'!$O$5:$O$316,0))),"")</f>
        <v>To buy</v>
      </c>
      <c r="J13" s="53" t="str">
        <f aca="false">IFERROR(IF(INDEX('Shopping List'!$N$5:$N$316,MATCH($A13,'Shopping List'!$O$5:$O$316,0))="","",INDEX('Shopping List'!$N$5:$N$316,MATCH($A13,'Shopping List'!$O$5:$O$316,0))),"")</f>
        <v/>
      </c>
    </row>
    <row r="14" customFormat="false" ht="23.85" hidden="false" customHeight="false" outlineLevel="0" collapsed="false">
      <c r="A14" s="52" t="n">
        <v>7</v>
      </c>
      <c r="B14" s="53" t="str">
        <f aca="false">IFERROR(IF(INDEX('Shopping List'!$D$5:$D$316,MATCH($A14,'Shopping List'!$O$5:$O$316,0))="","",INDEX('Shopping List'!$D$5:$D$316,MATCH($A14,'Shopping List'!$O$5:$O$316,0))),"")</f>
        <v>Tall units (oven/microwave column + fridge housing)</v>
      </c>
      <c r="C14" s="53" t="str">
        <f aca="false">IFERROR(IF(INDEX('Shopping List'!$E$5:$E$316,MATCH($A14,'Shopping List'!$O$5:$O$316,0))="","",INDEX('Shopping List'!$E$5:$E$316,MATCH($A14,'Shopping List'!$O$5:$O$316,0))),"")</f>
        <v>No particleboard/MDF - aluminium honeycomb, stainless or E0 marine-ply carcass; Blum/Hettich soft-close</v>
      </c>
      <c r="D14" s="53" t="str">
        <f aca="false">IFERROR(IF(INDEX('Shopping List'!$F$5:$F$316,MATCH($A14,'Shopping List'!$O$5:$O$316,0))="","",INDEX('Shopping List'!$F$5:$F$316,MATCH($A14,'Shopping List'!$O$5:$O$316,0))),"")</f>
        <v>Per layout, ~2400 high</v>
      </c>
      <c r="E14" s="46" t="n">
        <f aca="false">IFERROR(IF(INDEX('Shopping List'!$G$5:$G$316,MATCH($A14,'Shopping List'!$O$5:$O$316,0))="","",INDEX('Shopping List'!$G$5:$G$316,MATCH($A14,'Shopping List'!$O$5:$O$316,0))),"")</f>
        <v>1</v>
      </c>
      <c r="F14" s="46" t="str">
        <f aca="false">IFERROR(IF(INDEX('Shopping List'!$H$5:$H$316,MATCH($A14,'Shopping List'!$O$5:$O$316,0))="","",INDEX('Shopping List'!$H$5:$H$316,MATCH($A14,'Shopping List'!$O$5:$O$316,0))),"")</f>
        <v>set</v>
      </c>
      <c r="G14" s="54" t="str">
        <f aca="false">IFERROR(IF(INDEX('Shopping List'!$I$5:$I$316,MATCH($A14,'Shopping List'!$O$5:$O$316,0))="","",INDEX('Shopping List'!$I$5:$I$316,MATCH($A14,'Shopping List'!$O$5:$O$316,0))),"")</f>
        <v/>
      </c>
      <c r="H14" s="46" t="str">
        <f aca="false">IFERROR(IF(INDEX('Shopping List'!$L$5:$L$316,MATCH($A14,'Shopping List'!$O$5:$O$316,0))="","",INDEX('Shopping List'!$L$5:$L$316,MATCH($A14,'Shopping List'!$O$5:$O$316,0))),"")</f>
        <v/>
      </c>
      <c r="I14" s="46" t="str">
        <f aca="false">IFERROR(IF(INDEX('Shopping List'!$M$5:$M$316,MATCH($A14,'Shopping List'!$O$5:$O$316,0))="","",INDEX('Shopping List'!$M$5:$M$316,MATCH($A14,'Shopping List'!$O$5:$O$316,0))),"")</f>
        <v>To buy</v>
      </c>
      <c r="J14" s="53" t="str">
        <f aca="false">IFERROR(IF(INDEX('Shopping List'!$N$5:$N$316,MATCH($A14,'Shopping List'!$O$5:$O$316,0))="","",INDEX('Shopping List'!$N$5:$N$316,MATCH($A14,'Shopping List'!$O$5:$O$316,0))),"")</f>
        <v>Size to chosen appliances</v>
      </c>
    </row>
    <row r="15" customFormat="false" ht="23.85" hidden="false" customHeight="false" outlineLevel="0" collapsed="false">
      <c r="A15" s="52" t="n">
        <v>8</v>
      </c>
      <c r="B15" s="53" t="str">
        <f aca="false">IFERROR(IF(INDEX('Shopping List'!$D$5:$D$316,MATCH($A15,'Shopping List'!$O$5:$O$316,0))="","",INDEX('Shopping List'!$D$5:$D$316,MATCH($A15,'Shopping List'!$O$5:$O$316,0))),"")</f>
        <v>Island cabinet with seating overhang</v>
      </c>
      <c r="C15" s="53" t="str">
        <f aca="false">IFERROR(IF(INDEX('Shopping List'!$E$5:$E$316,MATCH($A15,'Shopping List'!$O$5:$O$316,0))="","",INDEX('Shopping List'!$E$5:$E$316,MATCH($A15,'Shopping List'!$O$5:$O$316,0))),"")</f>
        <v>No particleboard/MDF - aluminium honeycomb, stainless or E0 marine-ply carcass; Blum/Hettich soft-close</v>
      </c>
      <c r="D15" s="53" t="str">
        <f aca="false">IFERROR(IF(INDEX('Shopping List'!$F$5:$F$316,MATCH($A15,'Shopping List'!$O$5:$O$316,0))="","",INDEX('Shopping List'!$F$5:$F$316,MATCH($A15,'Shopping List'!$O$5:$O$316,0))),"")</f>
        <v>2300 x 915 mm (consider 2400 x 1000)</v>
      </c>
      <c r="E15" s="46" t="n">
        <f aca="false">IFERROR(IF(INDEX('Shopping List'!$G$5:$G$316,MATCH($A15,'Shopping List'!$O$5:$O$316,0))="","",INDEX('Shopping List'!$G$5:$G$316,MATCH($A15,'Shopping List'!$O$5:$O$316,0))),"")</f>
        <v>1</v>
      </c>
      <c r="F15" s="46" t="str">
        <f aca="false">IFERROR(IF(INDEX('Shopping List'!$H$5:$H$316,MATCH($A15,'Shopping List'!$O$5:$O$316,0))="","",INDEX('Shopping List'!$H$5:$H$316,MATCH($A15,'Shopping List'!$O$5:$O$316,0))),"")</f>
        <v>set</v>
      </c>
      <c r="G15" s="54" t="str">
        <f aca="false">IFERROR(IF(INDEX('Shopping List'!$I$5:$I$316,MATCH($A15,'Shopping List'!$O$5:$O$316,0))="","",INDEX('Shopping List'!$I$5:$I$316,MATCH($A15,'Shopping List'!$O$5:$O$316,0))),"")</f>
        <v/>
      </c>
      <c r="H15" s="46" t="str">
        <f aca="false">IFERROR(IF(INDEX('Shopping List'!$L$5:$L$316,MATCH($A15,'Shopping List'!$O$5:$O$316,0))="","",INDEX('Shopping List'!$L$5:$L$316,MATCH($A15,'Shopping List'!$O$5:$O$316,0))),"")</f>
        <v/>
      </c>
      <c r="I15" s="46" t="str">
        <f aca="false">IFERROR(IF(INDEX('Shopping List'!$M$5:$M$316,MATCH($A15,'Shopping List'!$O$5:$O$316,0))="","",INDEX('Shopping List'!$M$5:$M$316,MATCH($A15,'Shopping List'!$O$5:$O$316,0))),"")</f>
        <v>To buy</v>
      </c>
      <c r="J15" s="53" t="str">
        <f aca="false">IFERROR(IF(INDEX('Shopping List'!$N$5:$N$316,MATCH($A15,'Shopping List'!$O$5:$O$316,0))="","",INDEX('Shopping List'!$N$5:$N$316,MATCH($A15,'Shopping List'!$O$5:$O$316,0))),"")</f>
        <v/>
      </c>
    </row>
    <row r="16" customFormat="false" ht="15" hidden="false" customHeight="false" outlineLevel="0" collapsed="false">
      <c r="A16" s="52" t="n">
        <v>9</v>
      </c>
      <c r="B16" s="53" t="str">
        <f aca="false">IFERROR(IF(INDEX('Shopping List'!$D$5:$D$316,MATCH($A16,'Shopping List'!$O$5:$O$316,0))="","",INDEX('Shopping List'!$D$5:$D$316,MATCH($A16,'Shopping List'!$O$5:$O$316,0))),"")</f>
        <v>Sintered stone worktop (run + island)</v>
      </c>
      <c r="C16" s="53" t="str">
        <f aca="false">IFERROR(IF(INDEX('Shopping List'!$E$5:$E$316,MATCH($A16,'Shopping List'!$O$5:$O$316,0))="","",INDEX('Shopping List'!$E$5:$E$316,MATCH($A16,'Shopping List'!$O$5:$O$316,0))),"")</f>
        <v>12-20 mm, mitred edges, cut-outs for sink &amp; hob</v>
      </c>
      <c r="D16" s="53" t="str">
        <f aca="false">IFERROR(IF(INDEX('Shopping List'!$F$5:$F$316,MATCH($A16,'Shopping List'!$O$5:$O$316,0))="","",INDEX('Shopping List'!$F$5:$F$316,MATCH($A16,'Shopping List'!$O$5:$O$316,0))),"")</f>
        <v>~7 m²</v>
      </c>
      <c r="E16" s="46" t="n">
        <f aca="false">IFERROR(IF(INDEX('Shopping List'!$G$5:$G$316,MATCH($A16,'Shopping List'!$O$5:$O$316,0))="","",INDEX('Shopping List'!$G$5:$G$316,MATCH($A16,'Shopping List'!$O$5:$O$316,0))),"")</f>
        <v>7</v>
      </c>
      <c r="F16" s="46" t="str">
        <f aca="false">IFERROR(IF(INDEX('Shopping List'!$H$5:$H$316,MATCH($A16,'Shopping List'!$O$5:$O$316,0))="","",INDEX('Shopping List'!$H$5:$H$316,MATCH($A16,'Shopping List'!$O$5:$O$316,0))),"")</f>
        <v>m²</v>
      </c>
      <c r="G16" s="54" t="str">
        <f aca="false">IFERROR(IF(INDEX('Shopping List'!$I$5:$I$316,MATCH($A16,'Shopping List'!$O$5:$O$316,0))="","",INDEX('Shopping List'!$I$5:$I$316,MATCH($A16,'Shopping List'!$O$5:$O$316,0))),"")</f>
        <v/>
      </c>
      <c r="H16" s="46" t="str">
        <f aca="false">IFERROR(IF(INDEX('Shopping List'!$L$5:$L$316,MATCH($A16,'Shopping List'!$O$5:$O$316,0))="","",INDEX('Shopping List'!$L$5:$L$316,MATCH($A16,'Shopping List'!$O$5:$O$316,0))),"")</f>
        <v/>
      </c>
      <c r="I16" s="46" t="str">
        <f aca="false">IFERROR(IF(INDEX('Shopping List'!$M$5:$M$316,MATCH($A16,'Shopping List'!$O$5:$O$316,0))="","",INDEX('Shopping List'!$M$5:$M$316,MATCH($A16,'Shopping List'!$O$5:$O$316,0))),"")</f>
        <v>To buy</v>
      </c>
      <c r="J16" s="53" t="str">
        <f aca="false">IFERROR(IF(INDEX('Shopping List'!$N$5:$N$316,MATCH($A16,'Shopping List'!$O$5:$O$316,0))="","",INDEX('Shopping List'!$N$5:$N$316,MATCH($A16,'Shopping List'!$O$5:$O$316,0))),"")</f>
        <v>Template on site recommended</v>
      </c>
    </row>
    <row r="17" customFormat="false" ht="15" hidden="false" customHeight="false" outlineLevel="0" collapsed="false">
      <c r="A17" s="52" t="n">
        <v>10</v>
      </c>
      <c r="B17" s="53" t="str">
        <f aca="false">IFERROR(IF(INDEX('Shopping List'!$D$5:$D$316,MATCH($A17,'Shopping List'!$O$5:$O$316,0))="","",INDEX('Shopping List'!$D$5:$D$316,MATCH($A17,'Shopping List'!$O$5:$O$316,0))),"")</f>
        <v>Island bar stools</v>
      </c>
      <c r="C17" s="53" t="str">
        <f aca="false">IFERROR(IF(INDEX('Shopping List'!$E$5:$E$316,MATCH($A17,'Shopping List'!$O$5:$O$316,0))="","",INDEX('Shopping List'!$E$5:$E$316,MATCH($A17,'Shopping List'!$O$5:$O$316,0))),"")</f>
        <v>Counter height, seat ~650 mm</v>
      </c>
      <c r="D17" s="53" t="str">
        <f aca="false">IFERROR(IF(INDEX('Shopping List'!$F$5:$F$316,MATCH($A17,'Shopping List'!$O$5:$O$316,0))="","",INDEX('Shopping List'!$F$5:$F$316,MATCH($A17,'Shopping List'!$O$5:$O$316,0))),"")</f>
        <v>Designer to select</v>
      </c>
      <c r="E17" s="46" t="n">
        <f aca="false">IFERROR(IF(INDEX('Shopping List'!$G$5:$G$316,MATCH($A17,'Shopping List'!$O$5:$O$316,0))="","",INDEX('Shopping List'!$G$5:$G$316,MATCH($A17,'Shopping List'!$O$5:$O$316,0))),"")</f>
        <v>3</v>
      </c>
      <c r="F17" s="46" t="str">
        <f aca="false">IFERROR(IF(INDEX('Shopping List'!$H$5:$H$316,MATCH($A17,'Shopping List'!$O$5:$O$316,0))="","",INDEX('Shopping List'!$H$5:$H$316,MATCH($A17,'Shopping List'!$O$5:$O$316,0))),"")</f>
        <v>pcs</v>
      </c>
      <c r="G17" s="54" t="str">
        <f aca="false">IFERROR(IF(INDEX('Shopping List'!$I$5:$I$316,MATCH($A17,'Shopping List'!$O$5:$O$316,0))="","",INDEX('Shopping List'!$I$5:$I$316,MATCH($A17,'Shopping List'!$O$5:$O$316,0))),"")</f>
        <v/>
      </c>
      <c r="H17" s="46" t="str">
        <f aca="false">IFERROR(IF(INDEX('Shopping List'!$L$5:$L$316,MATCH($A17,'Shopping List'!$O$5:$O$316,0))="","",INDEX('Shopping List'!$L$5:$L$316,MATCH($A17,'Shopping List'!$O$5:$O$316,0))),"")</f>
        <v/>
      </c>
      <c r="I17" s="46" t="str">
        <f aca="false">IFERROR(IF(INDEX('Shopping List'!$M$5:$M$316,MATCH($A17,'Shopping List'!$O$5:$O$316,0))="","",INDEX('Shopping List'!$M$5:$M$316,MATCH($A17,'Shopping List'!$O$5:$O$316,0))),"")</f>
        <v>To buy</v>
      </c>
      <c r="J17" s="53" t="str">
        <f aca="false">IFERROR(IF(INDEX('Shopping List'!$N$5:$N$316,MATCH($A17,'Shopping List'!$O$5:$O$316,0))="","",INDEX('Shopping List'!$N$5:$N$316,MATCH($A17,'Shopping List'!$O$5:$O$316,0))),"")</f>
        <v/>
      </c>
    </row>
    <row r="18" customFormat="false" ht="35.05" hidden="false" customHeight="false" outlineLevel="0" collapsed="false">
      <c r="A18" s="52" t="n">
        <v>11</v>
      </c>
      <c r="B18" s="53" t="str">
        <f aca="false">IFERROR(IF(INDEX('Shopping List'!$D$5:$D$316,MATCH($A18,'Shopping List'!$O$5:$O$316,0))="","",INDEX('Shopping List'!$D$5:$D$316,MATCH($A18,'Shopping List'!$O$5:$O$316,0))),"")</f>
        <v>Under-mount double-bowl sink + pull-down mixer</v>
      </c>
      <c r="C18" s="53" t="str">
        <f aca="false">IFERROR(IF(INDEX('Shopping List'!$E$5:$E$316,MATCH($A18,'Shopping List'!$O$5:$O$316,0))="","",INDEX('Shopping List'!$E$5:$E$316,MATCH($A18,'Shopping List'!$O$5:$O$316,0))),"")</f>
        <v>Sink SUS304 1.2 mm handmade (SUS316 if offered); mixer SUS316L stainless body (not 304, not zinc, not plated brass), ceramic cartridge, PVD finish</v>
      </c>
      <c r="D18" s="53" t="str">
        <f aca="false">IFERROR(IF(INDEX('Shopping List'!$F$5:$F$316,MATCH($A18,'Shopping List'!$O$5:$O$316,0))="","",INDEX('Shopping List'!$F$5:$F$316,MATCH($A18,'Shopping List'!$O$5:$O$316,0))),"")</f>
        <v>~860 x 450 mm, PVD gunmetal</v>
      </c>
      <c r="E18" s="46" t="n">
        <f aca="false">IFERROR(IF(INDEX('Shopping List'!$G$5:$G$316,MATCH($A18,'Shopping List'!$O$5:$O$316,0))="","",INDEX('Shopping List'!$G$5:$G$316,MATCH($A18,'Shopping List'!$O$5:$O$316,0))),"")</f>
        <v>1</v>
      </c>
      <c r="F18" s="46" t="str">
        <f aca="false">IFERROR(IF(INDEX('Shopping List'!$H$5:$H$316,MATCH($A18,'Shopping List'!$O$5:$O$316,0))="","",INDEX('Shopping List'!$H$5:$H$316,MATCH($A18,'Shopping List'!$O$5:$O$316,0))),"")</f>
        <v>set</v>
      </c>
      <c r="G18" s="54" t="str">
        <f aca="false">IFERROR(IF(INDEX('Shopping List'!$I$5:$I$316,MATCH($A18,'Shopping List'!$O$5:$O$316,0))="","",INDEX('Shopping List'!$I$5:$I$316,MATCH($A18,'Shopping List'!$O$5:$O$316,0))),"")</f>
        <v/>
      </c>
      <c r="H18" s="46" t="str">
        <f aca="false">IFERROR(IF(INDEX('Shopping List'!$L$5:$L$316,MATCH($A18,'Shopping List'!$O$5:$O$316,0))="","",INDEX('Shopping List'!$L$5:$L$316,MATCH($A18,'Shopping List'!$O$5:$O$316,0))),"")</f>
        <v/>
      </c>
      <c r="I18" s="46" t="str">
        <f aca="false">IFERROR(IF(INDEX('Shopping List'!$M$5:$M$316,MATCH($A18,'Shopping List'!$O$5:$O$316,0))="","",INDEX('Shopping List'!$M$5:$M$316,MATCH($A18,'Shopping List'!$O$5:$O$316,0))),"")</f>
        <v>To buy</v>
      </c>
      <c r="J18" s="53" t="str">
        <f aca="false">IFERROR(IF(INDEX('Shopping List'!$N$5:$N$316,MATCH($A18,'Shopping List'!$O$5:$O$316,0))="","",INDEX('Shopping List'!$N$5:$N$316,MATCH($A18,'Shopping List'!$O$5:$O$316,0))),"")</f>
        <v/>
      </c>
    </row>
    <row r="19" customFormat="false" ht="23.85" hidden="false" customHeight="false" outlineLevel="0" collapsed="false">
      <c r="A19" s="52" t="n">
        <v>12</v>
      </c>
      <c r="B19" s="53" t="str">
        <f aca="false">IFERROR(IF(INDEX('Shopping List'!$D$5:$D$316,MATCH($A19,'Shopping List'!$O$5:$O$316,0))="","",INDEX('Shopping List'!$D$5:$D$316,MATCH($A19,'Shopping List'!$O$5:$O$316,0))),"")</f>
        <v>Built-in hob 90 cm</v>
      </c>
      <c r="C19" s="53" t="str">
        <f aca="false">IFERROR(IF(INDEX('Shopping List'!$E$5:$E$316,MATCH($A19,'Shopping List'!$O$5:$O$316,0))="","",INDEX('Shopping List'!$E$5:$E$316,MATCH($A19,'Shopping List'!$O$5:$O$316,0))),"")</f>
        <v>220-240V 50Hz, UK plug or hard-wired; confirm local service/warranty; induction 5-zone (or gas - CONFIRM)</v>
      </c>
      <c r="D19" s="53" t="str">
        <f aca="false">IFERROR(IF(INDEX('Shopping List'!$F$5:$F$316,MATCH($A19,'Shopping List'!$O$5:$O$316,0))="","",INDEX('Shopping List'!$F$5:$F$316,MATCH($A19,'Shopping List'!$O$5:$O$316,0))),"")</f>
        <v>90 cm, black glass</v>
      </c>
      <c r="E19" s="46" t="n">
        <f aca="false">IFERROR(IF(INDEX('Shopping List'!$G$5:$G$316,MATCH($A19,'Shopping List'!$O$5:$O$316,0))="","",INDEX('Shopping List'!$G$5:$G$316,MATCH($A19,'Shopping List'!$O$5:$O$316,0))),"")</f>
        <v>1</v>
      </c>
      <c r="F19" s="46" t="str">
        <f aca="false">IFERROR(IF(INDEX('Shopping List'!$H$5:$H$316,MATCH($A19,'Shopping List'!$O$5:$O$316,0))="","",INDEX('Shopping List'!$H$5:$H$316,MATCH($A19,'Shopping List'!$O$5:$O$316,0))),"")</f>
        <v>pcs</v>
      </c>
      <c r="G19" s="54" t="str">
        <f aca="false">IFERROR(IF(INDEX('Shopping List'!$I$5:$I$316,MATCH($A19,'Shopping List'!$O$5:$O$316,0))="","",INDEX('Shopping List'!$I$5:$I$316,MATCH($A19,'Shopping List'!$O$5:$O$316,0))),"")</f>
        <v/>
      </c>
      <c r="H19" s="46" t="str">
        <f aca="false">IFERROR(IF(INDEX('Shopping List'!$L$5:$L$316,MATCH($A19,'Shopping List'!$O$5:$O$316,0))="","",INDEX('Shopping List'!$L$5:$L$316,MATCH($A19,'Shopping List'!$O$5:$O$316,0))),"")</f>
        <v/>
      </c>
      <c r="I19" s="46" t="str">
        <f aca="false">IFERROR(IF(INDEX('Shopping List'!$M$5:$M$316,MATCH($A19,'Shopping List'!$O$5:$O$316,0))="","",INDEX('Shopping List'!$M$5:$M$316,MATCH($A19,'Shopping List'!$O$5:$O$316,0))),"")</f>
        <v>To buy</v>
      </c>
      <c r="J19" s="53" t="str">
        <f aca="false">IFERROR(IF(INDEX('Shopping List'!$N$5:$N$316,MATCH($A19,'Shopping List'!$O$5:$O$316,0))="","",INDEX('Shopping List'!$N$5:$N$316,MATCH($A19,'Shopping List'!$O$5:$O$316,0))),"")</f>
        <v>Cooking fuel not yet confirmed</v>
      </c>
    </row>
    <row r="20" customFormat="false" ht="23.85" hidden="false" customHeight="false" outlineLevel="0" collapsed="false">
      <c r="A20" s="52" t="n">
        <v>13</v>
      </c>
      <c r="B20" s="53" t="str">
        <f aca="false">IFERROR(IF(INDEX('Shopping List'!$D$5:$D$316,MATCH($A20,'Shopping List'!$O$5:$O$316,0))="","",INDEX('Shopping List'!$D$5:$D$316,MATCH($A20,'Shopping List'!$O$5:$O$316,0))),"")</f>
        <v>Chimney cooker hood 90 cm</v>
      </c>
      <c r="C20" s="53" t="str">
        <f aca="false">IFERROR(IF(INDEX('Shopping List'!$E$5:$E$316,MATCH($A20,'Shopping List'!$O$5:$O$316,0))="","",INDEX('Shopping List'!$E$5:$E$316,MATCH($A20,'Shopping List'!$O$5:$O$316,0))),"")</f>
        <v>220-240V 50Hz, UK plug or hard-wired; confirm local service/warranty; ducted outside, &gt;=1000 m³/h</v>
      </c>
      <c r="D20" s="53" t="str">
        <f aca="false">IFERROR(IF(INDEX('Shopping List'!$F$5:$F$316,MATCH($A20,'Shopping List'!$O$5:$O$316,0))="","",INDEX('Shopping List'!$F$5:$F$316,MATCH($A20,'Shopping List'!$O$5:$O$316,0))),"")</f>
        <v>90 cm</v>
      </c>
      <c r="E20" s="46" t="n">
        <f aca="false">IFERROR(IF(INDEX('Shopping List'!$G$5:$G$316,MATCH($A20,'Shopping List'!$O$5:$O$316,0))="","",INDEX('Shopping List'!$G$5:$G$316,MATCH($A20,'Shopping List'!$O$5:$O$316,0))),"")</f>
        <v>1</v>
      </c>
      <c r="F20" s="46" t="str">
        <f aca="false">IFERROR(IF(INDEX('Shopping List'!$H$5:$H$316,MATCH($A20,'Shopping List'!$O$5:$O$316,0))="","",INDEX('Shopping List'!$H$5:$H$316,MATCH($A20,'Shopping List'!$O$5:$O$316,0))),"")</f>
        <v>pcs</v>
      </c>
      <c r="G20" s="54" t="str">
        <f aca="false">IFERROR(IF(INDEX('Shopping List'!$I$5:$I$316,MATCH($A20,'Shopping List'!$O$5:$O$316,0))="","",INDEX('Shopping List'!$I$5:$I$316,MATCH($A20,'Shopping List'!$O$5:$O$316,0))),"")</f>
        <v/>
      </c>
      <c r="H20" s="46" t="str">
        <f aca="false">IFERROR(IF(INDEX('Shopping List'!$L$5:$L$316,MATCH($A20,'Shopping List'!$O$5:$O$316,0))="","",INDEX('Shopping List'!$L$5:$L$316,MATCH($A20,'Shopping List'!$O$5:$O$316,0))),"")</f>
        <v/>
      </c>
      <c r="I20" s="46" t="str">
        <f aca="false">IFERROR(IF(INDEX('Shopping List'!$M$5:$M$316,MATCH($A20,'Shopping List'!$O$5:$O$316,0))="","",INDEX('Shopping List'!$M$5:$M$316,MATCH($A20,'Shopping List'!$O$5:$O$316,0))),"")</f>
        <v>To buy</v>
      </c>
      <c r="J20" s="53" t="str">
        <f aca="false">IFERROR(IF(INDEX('Shopping List'!$N$5:$N$316,MATCH($A20,'Shopping List'!$O$5:$O$316,0))="","",INDEX('Shopping List'!$N$5:$N$316,MATCH($A20,'Shopping List'!$O$5:$O$316,0))),"")</f>
        <v>Check duct route</v>
      </c>
    </row>
    <row r="21" customFormat="false" ht="23.85" hidden="false" customHeight="false" outlineLevel="0" collapsed="false">
      <c r="A21" s="52" t="n">
        <v>14</v>
      </c>
      <c r="B21" s="53" t="str">
        <f aca="false">IFERROR(IF(INDEX('Shopping List'!$D$5:$D$316,MATCH($A21,'Shopping List'!$O$5:$O$316,0))="","",INDEX('Shopping List'!$D$5:$D$316,MATCH($A21,'Shopping List'!$O$5:$O$316,0))),"")</f>
        <v>Built-in oven 60 cm</v>
      </c>
      <c r="C21" s="53" t="str">
        <f aca="false">IFERROR(IF(INDEX('Shopping List'!$E$5:$E$316,MATCH($A21,'Shopping List'!$O$5:$O$316,0))="","",INDEX('Shopping List'!$E$5:$E$316,MATCH($A21,'Shopping List'!$O$5:$O$316,0))),"")</f>
        <v>220-240V 50Hz, UK plug or hard-wired; confirm local service/warranty; multifunction 70 L+</v>
      </c>
      <c r="D21" s="53" t="str">
        <f aca="false">IFERROR(IF(INDEX('Shopping List'!$F$5:$F$316,MATCH($A21,'Shopping List'!$O$5:$O$316,0))="","",INDEX('Shopping List'!$F$5:$F$316,MATCH($A21,'Shopping List'!$O$5:$O$316,0))),"")</f>
        <v>60 cm, black glass</v>
      </c>
      <c r="E21" s="46" t="n">
        <f aca="false">IFERROR(IF(INDEX('Shopping List'!$G$5:$G$316,MATCH($A21,'Shopping List'!$O$5:$O$316,0))="","",INDEX('Shopping List'!$G$5:$G$316,MATCH($A21,'Shopping List'!$O$5:$O$316,0))),"")</f>
        <v>1</v>
      </c>
      <c r="F21" s="46" t="str">
        <f aca="false">IFERROR(IF(INDEX('Shopping List'!$H$5:$H$316,MATCH($A21,'Shopping List'!$O$5:$O$316,0))="","",INDEX('Shopping List'!$H$5:$H$316,MATCH($A21,'Shopping List'!$O$5:$O$316,0))),"")</f>
        <v>pcs</v>
      </c>
      <c r="G21" s="54" t="str">
        <f aca="false">IFERROR(IF(INDEX('Shopping List'!$I$5:$I$316,MATCH($A21,'Shopping List'!$O$5:$O$316,0))="","",INDEX('Shopping List'!$I$5:$I$316,MATCH($A21,'Shopping List'!$O$5:$O$316,0))),"")</f>
        <v/>
      </c>
      <c r="H21" s="46" t="str">
        <f aca="false">IFERROR(IF(INDEX('Shopping List'!$L$5:$L$316,MATCH($A21,'Shopping List'!$O$5:$O$316,0))="","",INDEX('Shopping List'!$L$5:$L$316,MATCH($A21,'Shopping List'!$O$5:$O$316,0))),"")</f>
        <v/>
      </c>
      <c r="I21" s="46" t="str">
        <f aca="false">IFERROR(IF(INDEX('Shopping List'!$M$5:$M$316,MATCH($A21,'Shopping List'!$O$5:$O$316,0))="","",INDEX('Shopping List'!$M$5:$M$316,MATCH($A21,'Shopping List'!$O$5:$O$316,0))),"")</f>
        <v>To buy</v>
      </c>
      <c r="J21" s="53" t="str">
        <f aca="false">IFERROR(IF(INDEX('Shopping List'!$N$5:$N$316,MATCH($A21,'Shopping List'!$O$5:$O$316,0))="","",INDEX('Shopping List'!$N$5:$N$316,MATCH($A21,'Shopping List'!$O$5:$O$316,0))),"")</f>
        <v/>
      </c>
    </row>
    <row r="22" customFormat="false" ht="23.85" hidden="false" customHeight="false" outlineLevel="0" collapsed="false">
      <c r="A22" s="52" t="n">
        <v>15</v>
      </c>
      <c r="B22" s="53" t="str">
        <f aca="false">IFERROR(IF(INDEX('Shopping List'!$D$5:$D$316,MATCH($A22,'Shopping List'!$O$5:$O$316,0))="","",INDEX('Shopping List'!$D$5:$D$316,MATCH($A22,'Shopping List'!$O$5:$O$316,0))),"")</f>
        <v>Built-in microwave / combi-steam oven 45 cm</v>
      </c>
      <c r="C22" s="53" t="str">
        <f aca="false">IFERROR(IF(INDEX('Shopping List'!$E$5:$E$316,MATCH($A22,'Shopping List'!$O$5:$O$316,0))="","",INDEX('Shopping List'!$E$5:$E$316,MATCH($A22,'Shopping List'!$O$5:$O$316,0))),"")</f>
        <v>220-240V 50Hz, UK plug or hard-wired; confirm local service/warranty</v>
      </c>
      <c r="D22" s="53" t="str">
        <f aca="false">IFERROR(IF(INDEX('Shopping List'!$F$5:$F$316,MATCH($A22,'Shopping List'!$O$5:$O$316,0))="","",INDEX('Shopping List'!$F$5:$F$316,MATCH($A22,'Shopping List'!$O$5:$O$316,0))),"")</f>
        <v>45 cm, match oven</v>
      </c>
      <c r="E22" s="46" t="n">
        <f aca="false">IFERROR(IF(INDEX('Shopping List'!$G$5:$G$316,MATCH($A22,'Shopping List'!$O$5:$O$316,0))="","",INDEX('Shopping List'!$G$5:$G$316,MATCH($A22,'Shopping List'!$O$5:$O$316,0))),"")</f>
        <v>1</v>
      </c>
      <c r="F22" s="46" t="str">
        <f aca="false">IFERROR(IF(INDEX('Shopping List'!$H$5:$H$316,MATCH($A22,'Shopping List'!$O$5:$O$316,0))="","",INDEX('Shopping List'!$H$5:$H$316,MATCH($A22,'Shopping List'!$O$5:$O$316,0))),"")</f>
        <v>pcs</v>
      </c>
      <c r="G22" s="54" t="str">
        <f aca="false">IFERROR(IF(INDEX('Shopping List'!$I$5:$I$316,MATCH($A22,'Shopping List'!$O$5:$O$316,0))="","",INDEX('Shopping List'!$I$5:$I$316,MATCH($A22,'Shopping List'!$O$5:$O$316,0))),"")</f>
        <v/>
      </c>
      <c r="H22" s="46" t="str">
        <f aca="false">IFERROR(IF(INDEX('Shopping List'!$L$5:$L$316,MATCH($A22,'Shopping List'!$O$5:$O$316,0))="","",INDEX('Shopping List'!$L$5:$L$316,MATCH($A22,'Shopping List'!$O$5:$O$316,0))),"")</f>
        <v/>
      </c>
      <c r="I22" s="46" t="str">
        <f aca="false">IFERROR(IF(INDEX('Shopping List'!$M$5:$M$316,MATCH($A22,'Shopping List'!$O$5:$O$316,0))="","",INDEX('Shopping List'!$M$5:$M$316,MATCH($A22,'Shopping List'!$O$5:$O$316,0))),"")</f>
        <v>To buy</v>
      </c>
      <c r="J22" s="53" t="str">
        <f aca="false">IFERROR(IF(INDEX('Shopping List'!$N$5:$N$316,MATCH($A22,'Shopping List'!$O$5:$O$316,0))="","",INDEX('Shopping List'!$N$5:$N$316,MATCH($A22,'Shopping List'!$O$5:$O$316,0))),"")</f>
        <v/>
      </c>
    </row>
    <row r="23" customFormat="false" ht="23.85" hidden="false" customHeight="false" outlineLevel="0" collapsed="false">
      <c r="A23" s="52" t="n">
        <v>16</v>
      </c>
      <c r="B23" s="53" t="str">
        <f aca="false">IFERROR(IF(INDEX('Shopping List'!$D$5:$D$316,MATCH($A23,'Shopping List'!$O$5:$O$316,0))="","",INDEX('Shopping List'!$D$5:$D$316,MATCH($A23,'Shopping List'!$O$5:$O$316,0))),"")</f>
        <v>Built-in dishwasher 60 cm</v>
      </c>
      <c r="C23" s="53" t="str">
        <f aca="false">IFERROR(IF(INDEX('Shopping List'!$E$5:$E$316,MATCH($A23,'Shopping List'!$O$5:$O$316,0))="","",INDEX('Shopping List'!$E$5:$E$316,MATCH($A23,'Shopping List'!$O$5:$O$316,0))),"")</f>
        <v>220-240V 50Hz, UK plug or hard-wired; confirm local service/warranty; 14 place settings</v>
      </c>
      <c r="D23" s="53" t="str">
        <f aca="false">IFERROR(IF(INDEX('Shopping List'!$F$5:$F$316,MATCH($A23,'Shopping List'!$O$5:$O$316,0))="","",INDEX('Shopping List'!$F$5:$F$316,MATCH($A23,'Shopping List'!$O$5:$O$316,0))),"")</f>
        <v>60 cm, integrated</v>
      </c>
      <c r="E23" s="46" t="n">
        <f aca="false">IFERROR(IF(INDEX('Shopping List'!$G$5:$G$316,MATCH($A23,'Shopping List'!$O$5:$O$316,0))="","",INDEX('Shopping List'!$G$5:$G$316,MATCH($A23,'Shopping List'!$O$5:$O$316,0))),"")</f>
        <v>1</v>
      </c>
      <c r="F23" s="46" t="str">
        <f aca="false">IFERROR(IF(INDEX('Shopping List'!$H$5:$H$316,MATCH($A23,'Shopping List'!$O$5:$O$316,0))="","",INDEX('Shopping List'!$H$5:$H$316,MATCH($A23,'Shopping List'!$O$5:$O$316,0))),"")</f>
        <v>pcs</v>
      </c>
      <c r="G23" s="54" t="str">
        <f aca="false">IFERROR(IF(INDEX('Shopping List'!$I$5:$I$316,MATCH($A23,'Shopping List'!$O$5:$O$316,0))="","",INDEX('Shopping List'!$I$5:$I$316,MATCH($A23,'Shopping List'!$O$5:$O$316,0))),"")</f>
        <v/>
      </c>
      <c r="H23" s="46" t="str">
        <f aca="false">IFERROR(IF(INDEX('Shopping List'!$L$5:$L$316,MATCH($A23,'Shopping List'!$O$5:$O$316,0))="","",INDEX('Shopping List'!$L$5:$L$316,MATCH($A23,'Shopping List'!$O$5:$O$316,0))),"")</f>
        <v/>
      </c>
      <c r="I23" s="46" t="str">
        <f aca="false">IFERROR(IF(INDEX('Shopping List'!$M$5:$M$316,MATCH($A23,'Shopping List'!$O$5:$O$316,0))="","",INDEX('Shopping List'!$M$5:$M$316,MATCH($A23,'Shopping List'!$O$5:$O$316,0))),"")</f>
        <v>To buy</v>
      </c>
      <c r="J23" s="53" t="str">
        <f aca="false">IFERROR(IF(INDEX('Shopping List'!$N$5:$N$316,MATCH($A23,'Shopping List'!$O$5:$O$316,0))="","",INDEX('Shopping List'!$N$5:$N$316,MATCH($A23,'Shopping List'!$O$5:$O$316,0))),"")</f>
        <v>Feed from RO water</v>
      </c>
    </row>
    <row r="24" customFormat="false" ht="23.85" hidden="false" customHeight="false" outlineLevel="0" collapsed="false">
      <c r="A24" s="52" t="n">
        <v>17</v>
      </c>
      <c r="B24" s="53" t="str">
        <f aca="false">IFERROR(IF(INDEX('Shopping List'!$D$5:$D$316,MATCH($A24,'Shopping List'!$O$5:$O$316,0))="","",INDEX('Shopping List'!$D$5:$D$316,MATCH($A24,'Shopping List'!$O$5:$O$316,0))),"")</f>
        <v>Refrigerator - French door</v>
      </c>
      <c r="C24" s="53" t="str">
        <f aca="false">IFERROR(IF(INDEX('Shopping List'!$E$5:$E$316,MATCH($A24,'Shopping List'!$O$5:$O$316,0))="","",INDEX('Shopping List'!$E$5:$E$316,MATCH($A24,'Shopping List'!$O$5:$O$316,0))),"")</f>
        <v>220-240V 50Hz, UK plug or hard-wired; confirm local service/warranty; inverter, tropical class</v>
      </c>
      <c r="D24" s="53" t="str">
        <f aca="false">IFERROR(IF(INDEX('Shopping List'!$F$5:$F$316,MATCH($A24,'Shopping List'!$O$5:$O$316,0))="","",INDEX('Shopping List'!$F$5:$F$316,MATCH($A24,'Shopping List'!$O$5:$O$316,0))),"")</f>
        <v>~900 mm wide</v>
      </c>
      <c r="E24" s="46" t="n">
        <f aca="false">IFERROR(IF(INDEX('Shopping List'!$G$5:$G$316,MATCH($A24,'Shopping List'!$O$5:$O$316,0))="","",INDEX('Shopping List'!$G$5:$G$316,MATCH($A24,'Shopping List'!$O$5:$O$316,0))),"")</f>
        <v>1</v>
      </c>
      <c r="F24" s="46" t="str">
        <f aca="false">IFERROR(IF(INDEX('Shopping List'!$H$5:$H$316,MATCH($A24,'Shopping List'!$O$5:$O$316,0))="","",INDEX('Shopping List'!$H$5:$H$316,MATCH($A24,'Shopping List'!$O$5:$O$316,0))),"")</f>
        <v>pcs</v>
      </c>
      <c r="G24" s="54" t="str">
        <f aca="false">IFERROR(IF(INDEX('Shopping List'!$I$5:$I$316,MATCH($A24,'Shopping List'!$O$5:$O$316,0))="","",INDEX('Shopping List'!$I$5:$I$316,MATCH($A24,'Shopping List'!$O$5:$O$316,0))),"")</f>
        <v/>
      </c>
      <c r="H24" s="46" t="str">
        <f aca="false">IFERROR(IF(INDEX('Shopping List'!$L$5:$L$316,MATCH($A24,'Shopping List'!$O$5:$O$316,0))="","",INDEX('Shopping List'!$L$5:$L$316,MATCH($A24,'Shopping List'!$O$5:$O$316,0))),"")</f>
        <v/>
      </c>
      <c r="I24" s="46" t="str">
        <f aca="false">IFERROR(IF(INDEX('Shopping List'!$M$5:$M$316,MATCH($A24,'Shopping List'!$O$5:$O$316,0))="","",INDEX('Shopping List'!$M$5:$M$316,MATCH($A24,'Shopping List'!$O$5:$O$316,0))),"")</f>
        <v>To buy</v>
      </c>
      <c r="J24" s="53" t="str">
        <f aca="false">IFERROR(IF(INDEX('Shopping List'!$N$5:$N$316,MATCH($A24,'Shopping List'!$O$5:$O$316,0))="","",INDEX('Shopping List'!$N$5:$N$316,MATCH($A24,'Shopping List'!$O$5:$O$316,0))),"")</f>
        <v>Consider buying locally for warranty</v>
      </c>
    </row>
    <row r="25" customFormat="false" ht="15" hidden="false" customHeight="false" outlineLevel="0" collapsed="false">
      <c r="A25" s="52" t="n">
        <v>18</v>
      </c>
      <c r="B25" s="53" t="str">
        <f aca="false">IFERROR(IF(INDEX('Shopping List'!$D$5:$D$316,MATCH($A25,'Shopping List'!$O$5:$O$316,0))="","",INDEX('Shopping List'!$D$5:$D$316,MATCH($A25,'Shopping List'!$O$5:$O$316,0))),"")</f>
        <v/>
      </c>
      <c r="C25" s="53" t="str">
        <f aca="false">IFERROR(IF(INDEX('Shopping List'!$E$5:$E$316,MATCH($A25,'Shopping List'!$O$5:$O$316,0))="","",INDEX('Shopping List'!$E$5:$E$316,MATCH($A25,'Shopping List'!$O$5:$O$316,0))),"")</f>
        <v/>
      </c>
      <c r="D25" s="53" t="str">
        <f aca="false">IFERROR(IF(INDEX('Shopping List'!$F$5:$F$316,MATCH($A25,'Shopping List'!$O$5:$O$316,0))="","",INDEX('Shopping List'!$F$5:$F$316,MATCH($A25,'Shopping List'!$O$5:$O$316,0))),"")</f>
        <v/>
      </c>
      <c r="E25" s="46" t="str">
        <f aca="false">IFERROR(IF(INDEX('Shopping List'!$G$5:$G$316,MATCH($A25,'Shopping List'!$O$5:$O$316,0))="","",INDEX('Shopping List'!$G$5:$G$316,MATCH($A25,'Shopping List'!$O$5:$O$316,0))),"")</f>
        <v/>
      </c>
      <c r="F25" s="46" t="str">
        <f aca="false">IFERROR(IF(INDEX('Shopping List'!$H$5:$H$316,MATCH($A25,'Shopping List'!$O$5:$O$316,0))="","",INDEX('Shopping List'!$H$5:$H$316,MATCH($A25,'Shopping List'!$O$5:$O$316,0))),"")</f>
        <v/>
      </c>
      <c r="G25" s="54" t="str">
        <f aca="false">IFERROR(IF(INDEX('Shopping List'!$I$5:$I$316,MATCH($A25,'Shopping List'!$O$5:$O$316,0))="","",INDEX('Shopping List'!$I$5:$I$316,MATCH($A25,'Shopping List'!$O$5:$O$316,0))),"")</f>
        <v/>
      </c>
      <c r="H25" s="46" t="str">
        <f aca="false">IFERROR(IF(INDEX('Shopping List'!$L$5:$L$316,MATCH($A25,'Shopping List'!$O$5:$O$316,0))="","",INDEX('Shopping List'!$L$5:$L$316,MATCH($A25,'Shopping List'!$O$5:$O$316,0))),"")</f>
        <v/>
      </c>
      <c r="I25" s="46" t="str">
        <f aca="false">IFERROR(IF(INDEX('Shopping List'!$M$5:$M$316,MATCH($A25,'Shopping List'!$O$5:$O$316,0))="","",INDEX('Shopping List'!$M$5:$M$316,MATCH($A25,'Shopping List'!$O$5:$O$316,0))),"")</f>
        <v/>
      </c>
      <c r="J25" s="53" t="str">
        <f aca="false">IFERROR(IF(INDEX('Shopping List'!$N$5:$N$316,MATCH($A25,'Shopping List'!$O$5:$O$316,0))="","",INDEX('Shopping List'!$N$5:$N$316,MATCH($A25,'Shopping List'!$O$5:$O$316,0))),"")</f>
        <v/>
      </c>
    </row>
    <row r="26" customFormat="false" ht="15" hidden="false" customHeight="false" outlineLevel="0" collapsed="false">
      <c r="A26" s="52" t="n">
        <v>19</v>
      </c>
      <c r="B26" s="53" t="str">
        <f aca="false">IFERROR(IF(INDEX('Shopping List'!$D$5:$D$316,MATCH($A26,'Shopping List'!$O$5:$O$316,0))="","",INDEX('Shopping List'!$D$5:$D$316,MATCH($A26,'Shopping List'!$O$5:$O$316,0))),"")</f>
        <v/>
      </c>
      <c r="C26" s="53" t="str">
        <f aca="false">IFERROR(IF(INDEX('Shopping List'!$E$5:$E$316,MATCH($A26,'Shopping List'!$O$5:$O$316,0))="","",INDEX('Shopping List'!$E$5:$E$316,MATCH($A26,'Shopping List'!$O$5:$O$316,0))),"")</f>
        <v/>
      </c>
      <c r="D26" s="53" t="str">
        <f aca="false">IFERROR(IF(INDEX('Shopping List'!$F$5:$F$316,MATCH($A26,'Shopping List'!$O$5:$O$316,0))="","",INDEX('Shopping List'!$F$5:$F$316,MATCH($A26,'Shopping List'!$O$5:$O$316,0))),"")</f>
        <v/>
      </c>
      <c r="E26" s="46" t="str">
        <f aca="false">IFERROR(IF(INDEX('Shopping List'!$G$5:$G$316,MATCH($A26,'Shopping List'!$O$5:$O$316,0))="","",INDEX('Shopping List'!$G$5:$G$316,MATCH($A26,'Shopping List'!$O$5:$O$316,0))),"")</f>
        <v/>
      </c>
      <c r="F26" s="46" t="str">
        <f aca="false">IFERROR(IF(INDEX('Shopping List'!$H$5:$H$316,MATCH($A26,'Shopping List'!$O$5:$O$316,0))="","",INDEX('Shopping List'!$H$5:$H$316,MATCH($A26,'Shopping List'!$O$5:$O$316,0))),"")</f>
        <v/>
      </c>
      <c r="G26" s="54" t="str">
        <f aca="false">IFERROR(IF(INDEX('Shopping List'!$I$5:$I$316,MATCH($A26,'Shopping List'!$O$5:$O$316,0))="","",INDEX('Shopping List'!$I$5:$I$316,MATCH($A26,'Shopping List'!$O$5:$O$316,0))),"")</f>
        <v/>
      </c>
      <c r="H26" s="46" t="str">
        <f aca="false">IFERROR(IF(INDEX('Shopping List'!$L$5:$L$316,MATCH($A26,'Shopping List'!$O$5:$O$316,0))="","",INDEX('Shopping List'!$L$5:$L$316,MATCH($A26,'Shopping List'!$O$5:$O$316,0))),"")</f>
        <v/>
      </c>
      <c r="I26" s="46" t="str">
        <f aca="false">IFERROR(IF(INDEX('Shopping List'!$M$5:$M$316,MATCH($A26,'Shopping List'!$O$5:$O$316,0))="","",INDEX('Shopping List'!$M$5:$M$316,MATCH($A26,'Shopping List'!$O$5:$O$316,0))),"")</f>
        <v/>
      </c>
      <c r="J26" s="53" t="str">
        <f aca="false">IFERROR(IF(INDEX('Shopping List'!$N$5:$N$316,MATCH($A26,'Shopping List'!$O$5:$O$316,0))="","",INDEX('Shopping List'!$N$5:$N$316,MATCH($A26,'Shopping List'!$O$5:$O$316,0))),"")</f>
        <v/>
      </c>
    </row>
    <row r="27" customFormat="false" ht="15" hidden="false" customHeight="false" outlineLevel="0" collapsed="false">
      <c r="A27" s="52" t="n">
        <v>20</v>
      </c>
      <c r="B27" s="53" t="str">
        <f aca="false">IFERROR(IF(INDEX('Shopping List'!$D$5:$D$316,MATCH($A27,'Shopping List'!$O$5:$O$316,0))="","",INDEX('Shopping List'!$D$5:$D$316,MATCH($A27,'Shopping List'!$O$5:$O$316,0))),"")</f>
        <v/>
      </c>
      <c r="C27" s="53" t="str">
        <f aca="false">IFERROR(IF(INDEX('Shopping List'!$E$5:$E$316,MATCH($A27,'Shopping List'!$O$5:$O$316,0))="","",INDEX('Shopping List'!$E$5:$E$316,MATCH($A27,'Shopping List'!$O$5:$O$316,0))),"")</f>
        <v/>
      </c>
      <c r="D27" s="53" t="str">
        <f aca="false">IFERROR(IF(INDEX('Shopping List'!$F$5:$F$316,MATCH($A27,'Shopping List'!$O$5:$O$316,0))="","",INDEX('Shopping List'!$F$5:$F$316,MATCH($A27,'Shopping List'!$O$5:$O$316,0))),"")</f>
        <v/>
      </c>
      <c r="E27" s="46" t="str">
        <f aca="false">IFERROR(IF(INDEX('Shopping List'!$G$5:$G$316,MATCH($A27,'Shopping List'!$O$5:$O$316,0))="","",INDEX('Shopping List'!$G$5:$G$316,MATCH($A27,'Shopping List'!$O$5:$O$316,0))),"")</f>
        <v/>
      </c>
      <c r="F27" s="46" t="str">
        <f aca="false">IFERROR(IF(INDEX('Shopping List'!$H$5:$H$316,MATCH($A27,'Shopping List'!$O$5:$O$316,0))="","",INDEX('Shopping List'!$H$5:$H$316,MATCH($A27,'Shopping List'!$O$5:$O$316,0))),"")</f>
        <v/>
      </c>
      <c r="G27" s="54" t="str">
        <f aca="false">IFERROR(IF(INDEX('Shopping List'!$I$5:$I$316,MATCH($A27,'Shopping List'!$O$5:$O$316,0))="","",INDEX('Shopping List'!$I$5:$I$316,MATCH($A27,'Shopping List'!$O$5:$O$316,0))),"")</f>
        <v/>
      </c>
      <c r="H27" s="46" t="str">
        <f aca="false">IFERROR(IF(INDEX('Shopping List'!$L$5:$L$316,MATCH($A27,'Shopping List'!$O$5:$O$316,0))="","",INDEX('Shopping List'!$L$5:$L$316,MATCH($A27,'Shopping List'!$O$5:$O$316,0))),"")</f>
        <v/>
      </c>
      <c r="I27" s="46" t="str">
        <f aca="false">IFERROR(IF(INDEX('Shopping List'!$M$5:$M$316,MATCH($A27,'Shopping List'!$O$5:$O$316,0))="","",INDEX('Shopping List'!$M$5:$M$316,MATCH($A27,'Shopping List'!$O$5:$O$316,0))),"")</f>
        <v/>
      </c>
      <c r="J27" s="53" t="str">
        <f aca="false">IFERROR(IF(INDEX('Shopping List'!$N$5:$N$316,MATCH($A27,'Shopping List'!$O$5:$O$316,0))="","",INDEX('Shopping List'!$N$5:$N$316,MATCH($A27,'Shopping List'!$O$5:$O$316,0))),"")</f>
        <v/>
      </c>
    </row>
    <row r="28" customFormat="false" ht="15" hidden="false" customHeight="false" outlineLevel="0" collapsed="false">
      <c r="A28" s="52" t="n">
        <v>21</v>
      </c>
      <c r="B28" s="53" t="str">
        <f aca="false">IFERROR(IF(INDEX('Shopping List'!$D$5:$D$316,MATCH($A28,'Shopping List'!$O$5:$O$316,0))="","",INDEX('Shopping List'!$D$5:$D$316,MATCH($A28,'Shopping List'!$O$5:$O$316,0))),"")</f>
        <v/>
      </c>
      <c r="C28" s="53" t="str">
        <f aca="false">IFERROR(IF(INDEX('Shopping List'!$E$5:$E$316,MATCH($A28,'Shopping List'!$O$5:$O$316,0))="","",INDEX('Shopping List'!$E$5:$E$316,MATCH($A28,'Shopping List'!$O$5:$O$316,0))),"")</f>
        <v/>
      </c>
      <c r="D28" s="53" t="str">
        <f aca="false">IFERROR(IF(INDEX('Shopping List'!$F$5:$F$316,MATCH($A28,'Shopping List'!$O$5:$O$316,0))="","",INDEX('Shopping List'!$F$5:$F$316,MATCH($A28,'Shopping List'!$O$5:$O$316,0))),"")</f>
        <v/>
      </c>
      <c r="E28" s="46" t="str">
        <f aca="false">IFERROR(IF(INDEX('Shopping List'!$G$5:$G$316,MATCH($A28,'Shopping List'!$O$5:$O$316,0))="","",INDEX('Shopping List'!$G$5:$G$316,MATCH($A28,'Shopping List'!$O$5:$O$316,0))),"")</f>
        <v/>
      </c>
      <c r="F28" s="46" t="str">
        <f aca="false">IFERROR(IF(INDEX('Shopping List'!$H$5:$H$316,MATCH($A28,'Shopping List'!$O$5:$O$316,0))="","",INDEX('Shopping List'!$H$5:$H$316,MATCH($A28,'Shopping List'!$O$5:$O$316,0))),"")</f>
        <v/>
      </c>
      <c r="G28" s="54" t="str">
        <f aca="false">IFERROR(IF(INDEX('Shopping List'!$I$5:$I$316,MATCH($A28,'Shopping List'!$O$5:$O$316,0))="","",INDEX('Shopping List'!$I$5:$I$316,MATCH($A28,'Shopping List'!$O$5:$O$316,0))),"")</f>
        <v/>
      </c>
      <c r="H28" s="46" t="str">
        <f aca="false">IFERROR(IF(INDEX('Shopping List'!$L$5:$L$316,MATCH($A28,'Shopping List'!$O$5:$O$316,0))="","",INDEX('Shopping List'!$L$5:$L$316,MATCH($A28,'Shopping List'!$O$5:$O$316,0))),"")</f>
        <v/>
      </c>
      <c r="I28" s="46" t="str">
        <f aca="false">IFERROR(IF(INDEX('Shopping List'!$M$5:$M$316,MATCH($A28,'Shopping List'!$O$5:$O$316,0))="","",INDEX('Shopping List'!$M$5:$M$316,MATCH($A28,'Shopping List'!$O$5:$O$316,0))),"")</f>
        <v/>
      </c>
      <c r="J28" s="53" t="str">
        <f aca="false">IFERROR(IF(INDEX('Shopping List'!$N$5:$N$316,MATCH($A28,'Shopping List'!$O$5:$O$316,0))="","",INDEX('Shopping List'!$N$5:$N$316,MATCH($A28,'Shopping List'!$O$5:$O$316,0))),"")</f>
        <v/>
      </c>
    </row>
    <row r="29" customFormat="false" ht="15" hidden="false" customHeight="false" outlineLevel="0" collapsed="false">
      <c r="A29" s="52" t="n">
        <v>22</v>
      </c>
      <c r="B29" s="53" t="str">
        <f aca="false">IFERROR(IF(INDEX('Shopping List'!$D$5:$D$316,MATCH($A29,'Shopping List'!$O$5:$O$316,0))="","",INDEX('Shopping List'!$D$5:$D$316,MATCH($A29,'Shopping List'!$O$5:$O$316,0))),"")</f>
        <v/>
      </c>
      <c r="C29" s="53" t="str">
        <f aca="false">IFERROR(IF(INDEX('Shopping List'!$E$5:$E$316,MATCH($A29,'Shopping List'!$O$5:$O$316,0))="","",INDEX('Shopping List'!$E$5:$E$316,MATCH($A29,'Shopping List'!$O$5:$O$316,0))),"")</f>
        <v/>
      </c>
      <c r="D29" s="53" t="str">
        <f aca="false">IFERROR(IF(INDEX('Shopping List'!$F$5:$F$316,MATCH($A29,'Shopping List'!$O$5:$O$316,0))="","",INDEX('Shopping List'!$F$5:$F$316,MATCH($A29,'Shopping List'!$O$5:$O$316,0))),"")</f>
        <v/>
      </c>
      <c r="E29" s="46" t="str">
        <f aca="false">IFERROR(IF(INDEX('Shopping List'!$G$5:$G$316,MATCH($A29,'Shopping List'!$O$5:$O$316,0))="","",INDEX('Shopping List'!$G$5:$G$316,MATCH($A29,'Shopping List'!$O$5:$O$316,0))),"")</f>
        <v/>
      </c>
      <c r="F29" s="46" t="str">
        <f aca="false">IFERROR(IF(INDEX('Shopping List'!$H$5:$H$316,MATCH($A29,'Shopping List'!$O$5:$O$316,0))="","",INDEX('Shopping List'!$H$5:$H$316,MATCH($A29,'Shopping List'!$O$5:$O$316,0))),"")</f>
        <v/>
      </c>
      <c r="G29" s="54" t="str">
        <f aca="false">IFERROR(IF(INDEX('Shopping List'!$I$5:$I$316,MATCH($A29,'Shopping List'!$O$5:$O$316,0))="","",INDEX('Shopping List'!$I$5:$I$316,MATCH($A29,'Shopping List'!$O$5:$O$316,0))),"")</f>
        <v/>
      </c>
      <c r="H29" s="46" t="str">
        <f aca="false">IFERROR(IF(INDEX('Shopping List'!$L$5:$L$316,MATCH($A29,'Shopping List'!$O$5:$O$316,0))="","",INDEX('Shopping List'!$L$5:$L$316,MATCH($A29,'Shopping List'!$O$5:$O$316,0))),"")</f>
        <v/>
      </c>
      <c r="I29" s="46" t="str">
        <f aca="false">IFERROR(IF(INDEX('Shopping List'!$M$5:$M$316,MATCH($A29,'Shopping List'!$O$5:$O$316,0))="","",INDEX('Shopping List'!$M$5:$M$316,MATCH($A29,'Shopping List'!$O$5:$O$316,0))),"")</f>
        <v/>
      </c>
      <c r="J29" s="53" t="str">
        <f aca="false">IFERROR(IF(INDEX('Shopping List'!$N$5:$N$316,MATCH($A29,'Shopping List'!$O$5:$O$316,0))="","",INDEX('Shopping List'!$N$5:$N$316,MATCH($A29,'Shopping List'!$O$5:$O$316,0))),"")</f>
        <v/>
      </c>
    </row>
    <row r="30" customFormat="false" ht="15" hidden="false" customHeight="false" outlineLevel="0" collapsed="false">
      <c r="A30" s="52" t="n">
        <v>23</v>
      </c>
      <c r="B30" s="53" t="str">
        <f aca="false">IFERROR(IF(INDEX('Shopping List'!$D$5:$D$316,MATCH($A30,'Shopping List'!$O$5:$O$316,0))="","",INDEX('Shopping List'!$D$5:$D$316,MATCH($A30,'Shopping List'!$O$5:$O$316,0))),"")</f>
        <v/>
      </c>
      <c r="C30" s="53" t="str">
        <f aca="false">IFERROR(IF(INDEX('Shopping List'!$E$5:$E$316,MATCH($A30,'Shopping List'!$O$5:$O$316,0))="","",INDEX('Shopping List'!$E$5:$E$316,MATCH($A30,'Shopping List'!$O$5:$O$316,0))),"")</f>
        <v/>
      </c>
      <c r="D30" s="53" t="str">
        <f aca="false">IFERROR(IF(INDEX('Shopping List'!$F$5:$F$316,MATCH($A30,'Shopping List'!$O$5:$O$316,0))="","",INDEX('Shopping List'!$F$5:$F$316,MATCH($A30,'Shopping List'!$O$5:$O$316,0))),"")</f>
        <v/>
      </c>
      <c r="E30" s="46" t="str">
        <f aca="false">IFERROR(IF(INDEX('Shopping List'!$G$5:$G$316,MATCH($A30,'Shopping List'!$O$5:$O$316,0))="","",INDEX('Shopping List'!$G$5:$G$316,MATCH($A30,'Shopping List'!$O$5:$O$316,0))),"")</f>
        <v/>
      </c>
      <c r="F30" s="46" t="str">
        <f aca="false">IFERROR(IF(INDEX('Shopping List'!$H$5:$H$316,MATCH($A30,'Shopping List'!$O$5:$O$316,0))="","",INDEX('Shopping List'!$H$5:$H$316,MATCH($A30,'Shopping List'!$O$5:$O$316,0))),"")</f>
        <v/>
      </c>
      <c r="G30" s="54" t="str">
        <f aca="false">IFERROR(IF(INDEX('Shopping List'!$I$5:$I$316,MATCH($A30,'Shopping List'!$O$5:$O$316,0))="","",INDEX('Shopping List'!$I$5:$I$316,MATCH($A30,'Shopping List'!$O$5:$O$316,0))),"")</f>
        <v/>
      </c>
      <c r="H30" s="46" t="str">
        <f aca="false">IFERROR(IF(INDEX('Shopping List'!$L$5:$L$316,MATCH($A30,'Shopping List'!$O$5:$O$316,0))="","",INDEX('Shopping List'!$L$5:$L$316,MATCH($A30,'Shopping List'!$O$5:$O$316,0))),"")</f>
        <v/>
      </c>
      <c r="I30" s="46" t="str">
        <f aca="false">IFERROR(IF(INDEX('Shopping List'!$M$5:$M$316,MATCH($A30,'Shopping List'!$O$5:$O$316,0))="","",INDEX('Shopping List'!$M$5:$M$316,MATCH($A30,'Shopping List'!$O$5:$O$316,0))),"")</f>
        <v/>
      </c>
      <c r="J30" s="53" t="str">
        <f aca="false">IFERROR(IF(INDEX('Shopping List'!$N$5:$N$316,MATCH($A30,'Shopping List'!$O$5:$O$316,0))="","",INDEX('Shopping List'!$N$5:$N$316,MATCH($A30,'Shopping List'!$O$5:$O$316,0))),"")</f>
        <v/>
      </c>
    </row>
    <row r="31" customFormat="false" ht="15" hidden="false" customHeight="false" outlineLevel="0" collapsed="false">
      <c r="A31" s="52" t="n">
        <v>24</v>
      </c>
      <c r="B31" s="53" t="str">
        <f aca="false">IFERROR(IF(INDEX('Shopping List'!$D$5:$D$316,MATCH($A31,'Shopping List'!$O$5:$O$316,0))="","",INDEX('Shopping List'!$D$5:$D$316,MATCH($A31,'Shopping List'!$O$5:$O$316,0))),"")</f>
        <v/>
      </c>
      <c r="C31" s="53" t="str">
        <f aca="false">IFERROR(IF(INDEX('Shopping List'!$E$5:$E$316,MATCH($A31,'Shopping List'!$O$5:$O$316,0))="","",INDEX('Shopping List'!$E$5:$E$316,MATCH($A31,'Shopping List'!$O$5:$O$316,0))),"")</f>
        <v/>
      </c>
      <c r="D31" s="53" t="str">
        <f aca="false">IFERROR(IF(INDEX('Shopping List'!$F$5:$F$316,MATCH($A31,'Shopping List'!$O$5:$O$316,0))="","",INDEX('Shopping List'!$F$5:$F$316,MATCH($A31,'Shopping List'!$O$5:$O$316,0))),"")</f>
        <v/>
      </c>
      <c r="E31" s="46" t="str">
        <f aca="false">IFERROR(IF(INDEX('Shopping List'!$G$5:$G$316,MATCH($A31,'Shopping List'!$O$5:$O$316,0))="","",INDEX('Shopping List'!$G$5:$G$316,MATCH($A31,'Shopping List'!$O$5:$O$316,0))),"")</f>
        <v/>
      </c>
      <c r="F31" s="46" t="str">
        <f aca="false">IFERROR(IF(INDEX('Shopping List'!$H$5:$H$316,MATCH($A31,'Shopping List'!$O$5:$O$316,0))="","",INDEX('Shopping List'!$H$5:$H$316,MATCH($A31,'Shopping List'!$O$5:$O$316,0))),"")</f>
        <v/>
      </c>
      <c r="G31" s="54" t="str">
        <f aca="false">IFERROR(IF(INDEX('Shopping List'!$I$5:$I$316,MATCH($A31,'Shopping List'!$O$5:$O$316,0))="","",INDEX('Shopping List'!$I$5:$I$316,MATCH($A31,'Shopping List'!$O$5:$O$316,0))),"")</f>
        <v/>
      </c>
      <c r="H31" s="46" t="str">
        <f aca="false">IFERROR(IF(INDEX('Shopping List'!$L$5:$L$316,MATCH($A31,'Shopping List'!$O$5:$O$316,0))="","",INDEX('Shopping List'!$L$5:$L$316,MATCH($A31,'Shopping List'!$O$5:$O$316,0))),"")</f>
        <v/>
      </c>
      <c r="I31" s="46" t="str">
        <f aca="false">IFERROR(IF(INDEX('Shopping List'!$M$5:$M$316,MATCH($A31,'Shopping List'!$O$5:$O$316,0))="","",INDEX('Shopping List'!$M$5:$M$316,MATCH($A31,'Shopping List'!$O$5:$O$316,0))),"")</f>
        <v/>
      </c>
      <c r="J31" s="53" t="str">
        <f aca="false">IFERROR(IF(INDEX('Shopping List'!$N$5:$N$316,MATCH($A31,'Shopping List'!$O$5:$O$316,0))="","",INDEX('Shopping List'!$N$5:$N$316,MATCH($A31,'Shopping List'!$O$5:$O$316,0))),"")</f>
        <v/>
      </c>
    </row>
    <row r="32" customFormat="false" ht="15" hidden="false" customHeight="false" outlineLevel="0" collapsed="false">
      <c r="A32" s="52" t="n">
        <v>25</v>
      </c>
      <c r="B32" s="53" t="str">
        <f aca="false">IFERROR(IF(INDEX('Shopping List'!$D$5:$D$316,MATCH($A32,'Shopping List'!$O$5:$O$316,0))="","",INDEX('Shopping List'!$D$5:$D$316,MATCH($A32,'Shopping List'!$O$5:$O$316,0))),"")</f>
        <v/>
      </c>
      <c r="C32" s="53" t="str">
        <f aca="false">IFERROR(IF(INDEX('Shopping List'!$E$5:$E$316,MATCH($A32,'Shopping List'!$O$5:$O$316,0))="","",INDEX('Shopping List'!$E$5:$E$316,MATCH($A32,'Shopping List'!$O$5:$O$316,0))),"")</f>
        <v/>
      </c>
      <c r="D32" s="53" t="str">
        <f aca="false">IFERROR(IF(INDEX('Shopping List'!$F$5:$F$316,MATCH($A32,'Shopping List'!$O$5:$O$316,0))="","",INDEX('Shopping List'!$F$5:$F$316,MATCH($A32,'Shopping List'!$O$5:$O$316,0))),"")</f>
        <v/>
      </c>
      <c r="E32" s="46" t="str">
        <f aca="false">IFERROR(IF(INDEX('Shopping List'!$G$5:$G$316,MATCH($A32,'Shopping List'!$O$5:$O$316,0))="","",INDEX('Shopping List'!$G$5:$G$316,MATCH($A32,'Shopping List'!$O$5:$O$316,0))),"")</f>
        <v/>
      </c>
      <c r="F32" s="46" t="str">
        <f aca="false">IFERROR(IF(INDEX('Shopping List'!$H$5:$H$316,MATCH($A32,'Shopping List'!$O$5:$O$316,0))="","",INDEX('Shopping List'!$H$5:$H$316,MATCH($A32,'Shopping List'!$O$5:$O$316,0))),"")</f>
        <v/>
      </c>
      <c r="G32" s="54" t="str">
        <f aca="false">IFERROR(IF(INDEX('Shopping List'!$I$5:$I$316,MATCH($A32,'Shopping List'!$O$5:$O$316,0))="","",INDEX('Shopping List'!$I$5:$I$316,MATCH($A32,'Shopping List'!$O$5:$O$316,0))),"")</f>
        <v/>
      </c>
      <c r="H32" s="46" t="str">
        <f aca="false">IFERROR(IF(INDEX('Shopping List'!$L$5:$L$316,MATCH($A32,'Shopping List'!$O$5:$O$316,0))="","",INDEX('Shopping List'!$L$5:$L$316,MATCH($A32,'Shopping List'!$O$5:$O$316,0))),"")</f>
        <v/>
      </c>
      <c r="I32" s="46" t="str">
        <f aca="false">IFERROR(IF(INDEX('Shopping List'!$M$5:$M$316,MATCH($A32,'Shopping List'!$O$5:$O$316,0))="","",INDEX('Shopping List'!$M$5:$M$316,MATCH($A32,'Shopping List'!$O$5:$O$316,0))),"")</f>
        <v/>
      </c>
      <c r="J32" s="53" t="str">
        <f aca="false">IFERROR(IF(INDEX('Shopping List'!$N$5:$N$316,MATCH($A32,'Shopping List'!$O$5:$O$316,0))="","",INDEX('Shopping List'!$N$5:$N$316,MATCH($A32,'Shopping List'!$O$5:$O$316,0))),"")</f>
        <v/>
      </c>
    </row>
    <row r="33" customFormat="false" ht="15" hidden="false" customHeight="false" outlineLevel="0" collapsed="false">
      <c r="A33" s="52" t="n">
        <v>26</v>
      </c>
      <c r="B33" s="53" t="str">
        <f aca="false">IFERROR(IF(INDEX('Shopping List'!$D$5:$D$316,MATCH($A33,'Shopping List'!$O$5:$O$316,0))="","",INDEX('Shopping List'!$D$5:$D$316,MATCH($A33,'Shopping List'!$O$5:$O$316,0))),"")</f>
        <v/>
      </c>
      <c r="C33" s="53" t="str">
        <f aca="false">IFERROR(IF(INDEX('Shopping List'!$E$5:$E$316,MATCH($A33,'Shopping List'!$O$5:$O$316,0))="","",INDEX('Shopping List'!$E$5:$E$316,MATCH($A33,'Shopping List'!$O$5:$O$316,0))),"")</f>
        <v/>
      </c>
      <c r="D33" s="53" t="str">
        <f aca="false">IFERROR(IF(INDEX('Shopping List'!$F$5:$F$316,MATCH($A33,'Shopping List'!$O$5:$O$316,0))="","",INDEX('Shopping List'!$F$5:$F$316,MATCH($A33,'Shopping List'!$O$5:$O$316,0))),"")</f>
        <v/>
      </c>
      <c r="E33" s="46" t="str">
        <f aca="false">IFERROR(IF(INDEX('Shopping List'!$G$5:$G$316,MATCH($A33,'Shopping List'!$O$5:$O$316,0))="","",INDEX('Shopping List'!$G$5:$G$316,MATCH($A33,'Shopping List'!$O$5:$O$316,0))),"")</f>
        <v/>
      </c>
      <c r="F33" s="46" t="str">
        <f aca="false">IFERROR(IF(INDEX('Shopping List'!$H$5:$H$316,MATCH($A33,'Shopping List'!$O$5:$O$316,0))="","",INDEX('Shopping List'!$H$5:$H$316,MATCH($A33,'Shopping List'!$O$5:$O$316,0))),"")</f>
        <v/>
      </c>
      <c r="G33" s="54" t="str">
        <f aca="false">IFERROR(IF(INDEX('Shopping List'!$I$5:$I$316,MATCH($A33,'Shopping List'!$O$5:$O$316,0))="","",INDEX('Shopping List'!$I$5:$I$316,MATCH($A33,'Shopping List'!$O$5:$O$316,0))),"")</f>
        <v/>
      </c>
      <c r="H33" s="46" t="str">
        <f aca="false">IFERROR(IF(INDEX('Shopping List'!$L$5:$L$316,MATCH($A33,'Shopping List'!$O$5:$O$316,0))="","",INDEX('Shopping List'!$L$5:$L$316,MATCH($A33,'Shopping List'!$O$5:$O$316,0))),"")</f>
        <v/>
      </c>
      <c r="I33" s="46" t="str">
        <f aca="false">IFERROR(IF(INDEX('Shopping List'!$M$5:$M$316,MATCH($A33,'Shopping List'!$O$5:$O$316,0))="","",INDEX('Shopping List'!$M$5:$M$316,MATCH($A33,'Shopping List'!$O$5:$O$316,0))),"")</f>
        <v/>
      </c>
      <c r="J33" s="53" t="str">
        <f aca="false">IFERROR(IF(INDEX('Shopping List'!$N$5:$N$316,MATCH($A33,'Shopping List'!$O$5:$O$316,0))="","",INDEX('Shopping List'!$N$5:$N$316,MATCH($A33,'Shopping List'!$O$5:$O$316,0))),"")</f>
        <v/>
      </c>
    </row>
    <row r="34" customFormat="false" ht="15" hidden="false" customHeight="false" outlineLevel="0" collapsed="false">
      <c r="A34" s="52" t="n">
        <v>27</v>
      </c>
      <c r="B34" s="53" t="str">
        <f aca="false">IFERROR(IF(INDEX('Shopping List'!$D$5:$D$316,MATCH($A34,'Shopping List'!$O$5:$O$316,0))="","",INDEX('Shopping List'!$D$5:$D$316,MATCH($A34,'Shopping List'!$O$5:$O$316,0))),"")</f>
        <v/>
      </c>
      <c r="C34" s="53" t="str">
        <f aca="false">IFERROR(IF(INDEX('Shopping List'!$E$5:$E$316,MATCH($A34,'Shopping List'!$O$5:$O$316,0))="","",INDEX('Shopping List'!$E$5:$E$316,MATCH($A34,'Shopping List'!$O$5:$O$316,0))),"")</f>
        <v/>
      </c>
      <c r="D34" s="53" t="str">
        <f aca="false">IFERROR(IF(INDEX('Shopping List'!$F$5:$F$316,MATCH($A34,'Shopping List'!$O$5:$O$316,0))="","",INDEX('Shopping List'!$F$5:$F$316,MATCH($A34,'Shopping List'!$O$5:$O$316,0))),"")</f>
        <v/>
      </c>
      <c r="E34" s="46" t="str">
        <f aca="false">IFERROR(IF(INDEX('Shopping List'!$G$5:$G$316,MATCH($A34,'Shopping List'!$O$5:$O$316,0))="","",INDEX('Shopping List'!$G$5:$G$316,MATCH($A34,'Shopping List'!$O$5:$O$316,0))),"")</f>
        <v/>
      </c>
      <c r="F34" s="46" t="str">
        <f aca="false">IFERROR(IF(INDEX('Shopping List'!$H$5:$H$316,MATCH($A34,'Shopping List'!$O$5:$O$316,0))="","",INDEX('Shopping List'!$H$5:$H$316,MATCH($A34,'Shopping List'!$O$5:$O$316,0))),"")</f>
        <v/>
      </c>
      <c r="G34" s="54" t="str">
        <f aca="false">IFERROR(IF(INDEX('Shopping List'!$I$5:$I$316,MATCH($A34,'Shopping List'!$O$5:$O$316,0))="","",INDEX('Shopping List'!$I$5:$I$316,MATCH($A34,'Shopping List'!$O$5:$O$316,0))),"")</f>
        <v/>
      </c>
      <c r="H34" s="46" t="str">
        <f aca="false">IFERROR(IF(INDEX('Shopping List'!$L$5:$L$316,MATCH($A34,'Shopping List'!$O$5:$O$316,0))="","",INDEX('Shopping List'!$L$5:$L$316,MATCH($A34,'Shopping List'!$O$5:$O$316,0))),"")</f>
        <v/>
      </c>
      <c r="I34" s="46" t="str">
        <f aca="false">IFERROR(IF(INDEX('Shopping List'!$M$5:$M$316,MATCH($A34,'Shopping List'!$O$5:$O$316,0))="","",INDEX('Shopping List'!$M$5:$M$316,MATCH($A34,'Shopping List'!$O$5:$O$316,0))),"")</f>
        <v/>
      </c>
      <c r="J34" s="53" t="str">
        <f aca="false">IFERROR(IF(INDEX('Shopping List'!$N$5:$N$316,MATCH($A34,'Shopping List'!$O$5:$O$316,0))="","",INDEX('Shopping List'!$N$5:$N$316,MATCH($A34,'Shopping List'!$O$5:$O$316,0))),"")</f>
        <v/>
      </c>
    </row>
    <row r="35" customFormat="false" ht="15" hidden="false" customHeight="false" outlineLevel="0" collapsed="false">
      <c r="A35" s="52" t="n">
        <v>28</v>
      </c>
      <c r="B35" s="53" t="str">
        <f aca="false">IFERROR(IF(INDEX('Shopping List'!$D$5:$D$316,MATCH($A35,'Shopping List'!$O$5:$O$316,0))="","",INDEX('Shopping List'!$D$5:$D$316,MATCH($A35,'Shopping List'!$O$5:$O$316,0))),"")</f>
        <v/>
      </c>
      <c r="C35" s="53" t="str">
        <f aca="false">IFERROR(IF(INDEX('Shopping List'!$E$5:$E$316,MATCH($A35,'Shopping List'!$O$5:$O$316,0))="","",INDEX('Shopping List'!$E$5:$E$316,MATCH($A35,'Shopping List'!$O$5:$O$316,0))),"")</f>
        <v/>
      </c>
      <c r="D35" s="53" t="str">
        <f aca="false">IFERROR(IF(INDEX('Shopping List'!$F$5:$F$316,MATCH($A35,'Shopping List'!$O$5:$O$316,0))="","",INDEX('Shopping List'!$F$5:$F$316,MATCH($A35,'Shopping List'!$O$5:$O$316,0))),"")</f>
        <v/>
      </c>
      <c r="E35" s="46" t="str">
        <f aca="false">IFERROR(IF(INDEX('Shopping List'!$G$5:$G$316,MATCH($A35,'Shopping List'!$O$5:$O$316,0))="","",INDEX('Shopping List'!$G$5:$G$316,MATCH($A35,'Shopping List'!$O$5:$O$316,0))),"")</f>
        <v/>
      </c>
      <c r="F35" s="46" t="str">
        <f aca="false">IFERROR(IF(INDEX('Shopping List'!$H$5:$H$316,MATCH($A35,'Shopping List'!$O$5:$O$316,0))="","",INDEX('Shopping List'!$H$5:$H$316,MATCH($A35,'Shopping List'!$O$5:$O$316,0))),"")</f>
        <v/>
      </c>
      <c r="G35" s="54" t="str">
        <f aca="false">IFERROR(IF(INDEX('Shopping List'!$I$5:$I$316,MATCH($A35,'Shopping List'!$O$5:$O$316,0))="","",INDEX('Shopping List'!$I$5:$I$316,MATCH($A35,'Shopping List'!$O$5:$O$316,0))),"")</f>
        <v/>
      </c>
      <c r="H35" s="46" t="str">
        <f aca="false">IFERROR(IF(INDEX('Shopping List'!$L$5:$L$316,MATCH($A35,'Shopping List'!$O$5:$O$316,0))="","",INDEX('Shopping List'!$L$5:$L$316,MATCH($A35,'Shopping List'!$O$5:$O$316,0))),"")</f>
        <v/>
      </c>
      <c r="I35" s="46" t="str">
        <f aca="false">IFERROR(IF(INDEX('Shopping List'!$M$5:$M$316,MATCH($A35,'Shopping List'!$O$5:$O$316,0))="","",INDEX('Shopping List'!$M$5:$M$316,MATCH($A35,'Shopping List'!$O$5:$O$316,0))),"")</f>
        <v/>
      </c>
      <c r="J35" s="53" t="str">
        <f aca="false">IFERROR(IF(INDEX('Shopping List'!$N$5:$N$316,MATCH($A35,'Shopping List'!$O$5:$O$316,0))="","",INDEX('Shopping List'!$N$5:$N$316,MATCH($A35,'Shopping List'!$O$5:$O$316,0))),"")</f>
        <v/>
      </c>
    </row>
    <row r="36" customFormat="false" ht="15" hidden="false" customHeight="false" outlineLevel="0" collapsed="false">
      <c r="A36" s="52" t="n">
        <v>29</v>
      </c>
      <c r="B36" s="53" t="str">
        <f aca="false">IFERROR(IF(INDEX('Shopping List'!$D$5:$D$316,MATCH($A36,'Shopping List'!$O$5:$O$316,0))="","",INDEX('Shopping List'!$D$5:$D$316,MATCH($A36,'Shopping List'!$O$5:$O$316,0))),"")</f>
        <v/>
      </c>
      <c r="C36" s="53" t="str">
        <f aca="false">IFERROR(IF(INDEX('Shopping List'!$E$5:$E$316,MATCH($A36,'Shopping List'!$O$5:$O$316,0))="","",INDEX('Shopping List'!$E$5:$E$316,MATCH($A36,'Shopping List'!$O$5:$O$316,0))),"")</f>
        <v/>
      </c>
      <c r="D36" s="53" t="str">
        <f aca="false">IFERROR(IF(INDEX('Shopping List'!$F$5:$F$316,MATCH($A36,'Shopping List'!$O$5:$O$316,0))="","",INDEX('Shopping List'!$F$5:$F$316,MATCH($A36,'Shopping List'!$O$5:$O$316,0))),"")</f>
        <v/>
      </c>
      <c r="E36" s="46" t="str">
        <f aca="false">IFERROR(IF(INDEX('Shopping List'!$G$5:$G$316,MATCH($A36,'Shopping List'!$O$5:$O$316,0))="","",INDEX('Shopping List'!$G$5:$G$316,MATCH($A36,'Shopping List'!$O$5:$O$316,0))),"")</f>
        <v/>
      </c>
      <c r="F36" s="46" t="str">
        <f aca="false">IFERROR(IF(INDEX('Shopping List'!$H$5:$H$316,MATCH($A36,'Shopping List'!$O$5:$O$316,0))="","",INDEX('Shopping List'!$H$5:$H$316,MATCH($A36,'Shopping List'!$O$5:$O$316,0))),"")</f>
        <v/>
      </c>
      <c r="G36" s="54" t="str">
        <f aca="false">IFERROR(IF(INDEX('Shopping List'!$I$5:$I$316,MATCH($A36,'Shopping List'!$O$5:$O$316,0))="","",INDEX('Shopping List'!$I$5:$I$316,MATCH($A36,'Shopping List'!$O$5:$O$316,0))),"")</f>
        <v/>
      </c>
      <c r="H36" s="46" t="str">
        <f aca="false">IFERROR(IF(INDEX('Shopping List'!$L$5:$L$316,MATCH($A36,'Shopping List'!$O$5:$O$316,0))="","",INDEX('Shopping List'!$L$5:$L$316,MATCH($A36,'Shopping List'!$O$5:$O$316,0))),"")</f>
        <v/>
      </c>
      <c r="I36" s="46" t="str">
        <f aca="false">IFERROR(IF(INDEX('Shopping List'!$M$5:$M$316,MATCH($A36,'Shopping List'!$O$5:$O$316,0))="","",INDEX('Shopping List'!$M$5:$M$316,MATCH($A36,'Shopping List'!$O$5:$O$316,0))),"")</f>
        <v/>
      </c>
      <c r="J36" s="53" t="str">
        <f aca="false">IFERROR(IF(INDEX('Shopping List'!$N$5:$N$316,MATCH($A36,'Shopping List'!$O$5:$O$316,0))="","",INDEX('Shopping List'!$N$5:$N$316,MATCH($A36,'Shopping List'!$O$5:$O$316,0))),"")</f>
        <v/>
      </c>
    </row>
    <row r="37" customFormat="false" ht="15" hidden="false" customHeight="false" outlineLevel="0" collapsed="false">
      <c r="A37" s="52" t="n">
        <v>30</v>
      </c>
      <c r="B37" s="53" t="str">
        <f aca="false">IFERROR(IF(INDEX('Shopping List'!$D$5:$D$316,MATCH($A37,'Shopping List'!$O$5:$O$316,0))="","",INDEX('Shopping List'!$D$5:$D$316,MATCH($A37,'Shopping List'!$O$5:$O$316,0))),"")</f>
        <v/>
      </c>
      <c r="C37" s="53" t="str">
        <f aca="false">IFERROR(IF(INDEX('Shopping List'!$E$5:$E$316,MATCH($A37,'Shopping List'!$O$5:$O$316,0))="","",INDEX('Shopping List'!$E$5:$E$316,MATCH($A37,'Shopping List'!$O$5:$O$316,0))),"")</f>
        <v/>
      </c>
      <c r="D37" s="53" t="str">
        <f aca="false">IFERROR(IF(INDEX('Shopping List'!$F$5:$F$316,MATCH($A37,'Shopping List'!$O$5:$O$316,0))="","",INDEX('Shopping List'!$F$5:$F$316,MATCH($A37,'Shopping List'!$O$5:$O$316,0))),"")</f>
        <v/>
      </c>
      <c r="E37" s="46" t="str">
        <f aca="false">IFERROR(IF(INDEX('Shopping List'!$G$5:$G$316,MATCH($A37,'Shopping List'!$O$5:$O$316,0))="","",INDEX('Shopping List'!$G$5:$G$316,MATCH($A37,'Shopping List'!$O$5:$O$316,0))),"")</f>
        <v/>
      </c>
      <c r="F37" s="46" t="str">
        <f aca="false">IFERROR(IF(INDEX('Shopping List'!$H$5:$H$316,MATCH($A37,'Shopping List'!$O$5:$O$316,0))="","",INDEX('Shopping List'!$H$5:$H$316,MATCH($A37,'Shopping List'!$O$5:$O$316,0))),"")</f>
        <v/>
      </c>
      <c r="G37" s="54" t="str">
        <f aca="false">IFERROR(IF(INDEX('Shopping List'!$I$5:$I$316,MATCH($A37,'Shopping List'!$O$5:$O$316,0))="","",INDEX('Shopping List'!$I$5:$I$316,MATCH($A37,'Shopping List'!$O$5:$O$316,0))),"")</f>
        <v/>
      </c>
      <c r="H37" s="46" t="str">
        <f aca="false">IFERROR(IF(INDEX('Shopping List'!$L$5:$L$316,MATCH($A37,'Shopping List'!$O$5:$O$316,0))="","",INDEX('Shopping List'!$L$5:$L$316,MATCH($A37,'Shopping List'!$O$5:$O$316,0))),"")</f>
        <v/>
      </c>
      <c r="I37" s="46" t="str">
        <f aca="false">IFERROR(IF(INDEX('Shopping List'!$M$5:$M$316,MATCH($A37,'Shopping List'!$O$5:$O$316,0))="","",INDEX('Shopping List'!$M$5:$M$316,MATCH($A37,'Shopping List'!$O$5:$O$316,0))),"")</f>
        <v/>
      </c>
      <c r="J37" s="53" t="str">
        <f aca="false">IFERROR(IF(INDEX('Shopping List'!$N$5:$N$316,MATCH($A37,'Shopping List'!$O$5:$O$316,0))="","",INDEX('Shopping List'!$N$5:$N$316,MATCH($A37,'Shopping List'!$O$5:$O$316,0))),"")</f>
        <v/>
      </c>
    </row>
    <row r="38" customFormat="false" ht="15" hidden="false" customHeight="false" outlineLevel="0" collapsed="false">
      <c r="A38" s="52" t="n">
        <v>31</v>
      </c>
      <c r="B38" s="53" t="str">
        <f aca="false">IFERROR(IF(INDEX('Shopping List'!$D$5:$D$316,MATCH($A38,'Shopping List'!$O$5:$O$316,0))="","",INDEX('Shopping List'!$D$5:$D$316,MATCH($A38,'Shopping List'!$O$5:$O$316,0))),"")</f>
        <v/>
      </c>
      <c r="C38" s="53" t="str">
        <f aca="false">IFERROR(IF(INDEX('Shopping List'!$E$5:$E$316,MATCH($A38,'Shopping List'!$O$5:$O$316,0))="","",INDEX('Shopping List'!$E$5:$E$316,MATCH($A38,'Shopping List'!$O$5:$O$316,0))),"")</f>
        <v/>
      </c>
      <c r="D38" s="53" t="str">
        <f aca="false">IFERROR(IF(INDEX('Shopping List'!$F$5:$F$316,MATCH($A38,'Shopping List'!$O$5:$O$316,0))="","",INDEX('Shopping List'!$F$5:$F$316,MATCH($A38,'Shopping List'!$O$5:$O$316,0))),"")</f>
        <v/>
      </c>
      <c r="E38" s="46" t="str">
        <f aca="false">IFERROR(IF(INDEX('Shopping List'!$G$5:$G$316,MATCH($A38,'Shopping List'!$O$5:$O$316,0))="","",INDEX('Shopping List'!$G$5:$G$316,MATCH($A38,'Shopping List'!$O$5:$O$316,0))),"")</f>
        <v/>
      </c>
      <c r="F38" s="46" t="str">
        <f aca="false">IFERROR(IF(INDEX('Shopping List'!$H$5:$H$316,MATCH($A38,'Shopping List'!$O$5:$O$316,0))="","",INDEX('Shopping List'!$H$5:$H$316,MATCH($A38,'Shopping List'!$O$5:$O$316,0))),"")</f>
        <v/>
      </c>
      <c r="G38" s="54" t="str">
        <f aca="false">IFERROR(IF(INDEX('Shopping List'!$I$5:$I$316,MATCH($A38,'Shopping List'!$O$5:$O$316,0))="","",INDEX('Shopping List'!$I$5:$I$316,MATCH($A38,'Shopping List'!$O$5:$O$316,0))),"")</f>
        <v/>
      </c>
      <c r="H38" s="46" t="str">
        <f aca="false">IFERROR(IF(INDEX('Shopping List'!$L$5:$L$316,MATCH($A38,'Shopping List'!$O$5:$O$316,0))="","",INDEX('Shopping List'!$L$5:$L$316,MATCH($A38,'Shopping List'!$O$5:$O$316,0))),"")</f>
        <v/>
      </c>
      <c r="I38" s="46" t="str">
        <f aca="false">IFERROR(IF(INDEX('Shopping List'!$M$5:$M$316,MATCH($A38,'Shopping List'!$O$5:$O$316,0))="","",INDEX('Shopping List'!$M$5:$M$316,MATCH($A38,'Shopping List'!$O$5:$O$316,0))),"")</f>
        <v/>
      </c>
      <c r="J38" s="53" t="str">
        <f aca="false">IFERROR(IF(INDEX('Shopping List'!$N$5:$N$316,MATCH($A38,'Shopping List'!$O$5:$O$316,0))="","",INDEX('Shopping List'!$N$5:$N$316,MATCH($A38,'Shopping List'!$O$5:$O$316,0))),"")</f>
        <v/>
      </c>
    </row>
    <row r="39" customFormat="false" ht="15" hidden="false" customHeight="false" outlineLevel="0" collapsed="false">
      <c r="A39" s="52" t="n">
        <v>32</v>
      </c>
      <c r="B39" s="53" t="str">
        <f aca="false">IFERROR(IF(INDEX('Shopping List'!$D$5:$D$316,MATCH($A39,'Shopping List'!$O$5:$O$316,0))="","",INDEX('Shopping List'!$D$5:$D$316,MATCH($A39,'Shopping List'!$O$5:$O$316,0))),"")</f>
        <v/>
      </c>
      <c r="C39" s="53" t="str">
        <f aca="false">IFERROR(IF(INDEX('Shopping List'!$E$5:$E$316,MATCH($A39,'Shopping List'!$O$5:$O$316,0))="","",INDEX('Shopping List'!$E$5:$E$316,MATCH($A39,'Shopping List'!$O$5:$O$316,0))),"")</f>
        <v/>
      </c>
      <c r="D39" s="53" t="str">
        <f aca="false">IFERROR(IF(INDEX('Shopping List'!$F$5:$F$316,MATCH($A39,'Shopping List'!$O$5:$O$316,0))="","",INDEX('Shopping List'!$F$5:$F$316,MATCH($A39,'Shopping List'!$O$5:$O$316,0))),"")</f>
        <v/>
      </c>
      <c r="E39" s="46" t="str">
        <f aca="false">IFERROR(IF(INDEX('Shopping List'!$G$5:$G$316,MATCH($A39,'Shopping List'!$O$5:$O$316,0))="","",INDEX('Shopping List'!$G$5:$G$316,MATCH($A39,'Shopping List'!$O$5:$O$316,0))),"")</f>
        <v/>
      </c>
      <c r="F39" s="46" t="str">
        <f aca="false">IFERROR(IF(INDEX('Shopping List'!$H$5:$H$316,MATCH($A39,'Shopping List'!$O$5:$O$316,0))="","",INDEX('Shopping List'!$H$5:$H$316,MATCH($A39,'Shopping List'!$O$5:$O$316,0))),"")</f>
        <v/>
      </c>
      <c r="G39" s="54" t="str">
        <f aca="false">IFERROR(IF(INDEX('Shopping List'!$I$5:$I$316,MATCH($A39,'Shopping List'!$O$5:$O$316,0))="","",INDEX('Shopping List'!$I$5:$I$316,MATCH($A39,'Shopping List'!$O$5:$O$316,0))),"")</f>
        <v/>
      </c>
      <c r="H39" s="46" t="str">
        <f aca="false">IFERROR(IF(INDEX('Shopping List'!$L$5:$L$316,MATCH($A39,'Shopping List'!$O$5:$O$316,0))="","",INDEX('Shopping List'!$L$5:$L$316,MATCH($A39,'Shopping List'!$O$5:$O$316,0))),"")</f>
        <v/>
      </c>
      <c r="I39" s="46" t="str">
        <f aca="false">IFERROR(IF(INDEX('Shopping List'!$M$5:$M$316,MATCH($A39,'Shopping List'!$O$5:$O$316,0))="","",INDEX('Shopping List'!$M$5:$M$316,MATCH($A39,'Shopping List'!$O$5:$O$316,0))),"")</f>
        <v/>
      </c>
      <c r="J39" s="53" t="str">
        <f aca="false">IFERROR(IF(INDEX('Shopping List'!$N$5:$N$316,MATCH($A39,'Shopping List'!$O$5:$O$316,0))="","",INDEX('Shopping List'!$N$5:$N$316,MATCH($A39,'Shopping List'!$O$5:$O$316,0))),"")</f>
        <v/>
      </c>
    </row>
    <row r="40" customFormat="false" ht="15" hidden="false" customHeight="false" outlineLevel="0" collapsed="false">
      <c r="A40" s="52" t="n">
        <v>33</v>
      </c>
      <c r="B40" s="53" t="str">
        <f aca="false">IFERROR(IF(INDEX('Shopping List'!$D$5:$D$316,MATCH($A40,'Shopping List'!$O$5:$O$316,0))="","",INDEX('Shopping List'!$D$5:$D$316,MATCH($A40,'Shopping List'!$O$5:$O$316,0))),"")</f>
        <v/>
      </c>
      <c r="C40" s="53" t="str">
        <f aca="false">IFERROR(IF(INDEX('Shopping List'!$E$5:$E$316,MATCH($A40,'Shopping List'!$O$5:$O$316,0))="","",INDEX('Shopping List'!$E$5:$E$316,MATCH($A40,'Shopping List'!$O$5:$O$316,0))),"")</f>
        <v/>
      </c>
      <c r="D40" s="53" t="str">
        <f aca="false">IFERROR(IF(INDEX('Shopping List'!$F$5:$F$316,MATCH($A40,'Shopping List'!$O$5:$O$316,0))="","",INDEX('Shopping List'!$F$5:$F$316,MATCH($A40,'Shopping List'!$O$5:$O$316,0))),"")</f>
        <v/>
      </c>
      <c r="E40" s="46" t="str">
        <f aca="false">IFERROR(IF(INDEX('Shopping List'!$G$5:$G$316,MATCH($A40,'Shopping List'!$O$5:$O$316,0))="","",INDEX('Shopping List'!$G$5:$G$316,MATCH($A40,'Shopping List'!$O$5:$O$316,0))),"")</f>
        <v/>
      </c>
      <c r="F40" s="46" t="str">
        <f aca="false">IFERROR(IF(INDEX('Shopping List'!$H$5:$H$316,MATCH($A40,'Shopping List'!$O$5:$O$316,0))="","",INDEX('Shopping List'!$H$5:$H$316,MATCH($A40,'Shopping List'!$O$5:$O$316,0))),"")</f>
        <v/>
      </c>
      <c r="G40" s="54" t="str">
        <f aca="false">IFERROR(IF(INDEX('Shopping List'!$I$5:$I$316,MATCH($A40,'Shopping List'!$O$5:$O$316,0))="","",INDEX('Shopping List'!$I$5:$I$316,MATCH($A40,'Shopping List'!$O$5:$O$316,0))),"")</f>
        <v/>
      </c>
      <c r="H40" s="46" t="str">
        <f aca="false">IFERROR(IF(INDEX('Shopping List'!$L$5:$L$316,MATCH($A40,'Shopping List'!$O$5:$O$316,0))="","",INDEX('Shopping List'!$L$5:$L$316,MATCH($A40,'Shopping List'!$O$5:$O$316,0))),"")</f>
        <v/>
      </c>
      <c r="I40" s="46" t="str">
        <f aca="false">IFERROR(IF(INDEX('Shopping List'!$M$5:$M$316,MATCH($A40,'Shopping List'!$O$5:$O$316,0))="","",INDEX('Shopping List'!$M$5:$M$316,MATCH($A40,'Shopping List'!$O$5:$O$316,0))),"")</f>
        <v/>
      </c>
      <c r="J40" s="53" t="str">
        <f aca="false">IFERROR(IF(INDEX('Shopping List'!$N$5:$N$316,MATCH($A40,'Shopping List'!$O$5:$O$316,0))="","",INDEX('Shopping List'!$N$5:$N$316,MATCH($A40,'Shopping List'!$O$5:$O$316,0))),"")</f>
        <v/>
      </c>
    </row>
    <row r="41" customFormat="false" ht="15" hidden="false" customHeight="false" outlineLevel="0" collapsed="false">
      <c r="A41" s="52" t="n">
        <v>34</v>
      </c>
      <c r="B41" s="53" t="str">
        <f aca="false">IFERROR(IF(INDEX('Shopping List'!$D$5:$D$316,MATCH($A41,'Shopping List'!$O$5:$O$316,0))="","",INDEX('Shopping List'!$D$5:$D$316,MATCH($A41,'Shopping List'!$O$5:$O$316,0))),"")</f>
        <v/>
      </c>
      <c r="C41" s="53" t="str">
        <f aca="false">IFERROR(IF(INDEX('Shopping List'!$E$5:$E$316,MATCH($A41,'Shopping List'!$O$5:$O$316,0))="","",INDEX('Shopping List'!$E$5:$E$316,MATCH($A41,'Shopping List'!$O$5:$O$316,0))),"")</f>
        <v/>
      </c>
      <c r="D41" s="53" t="str">
        <f aca="false">IFERROR(IF(INDEX('Shopping List'!$F$5:$F$316,MATCH($A41,'Shopping List'!$O$5:$O$316,0))="","",INDEX('Shopping List'!$F$5:$F$316,MATCH($A41,'Shopping List'!$O$5:$O$316,0))),"")</f>
        <v/>
      </c>
      <c r="E41" s="46" t="str">
        <f aca="false">IFERROR(IF(INDEX('Shopping List'!$G$5:$G$316,MATCH($A41,'Shopping List'!$O$5:$O$316,0))="","",INDEX('Shopping List'!$G$5:$G$316,MATCH($A41,'Shopping List'!$O$5:$O$316,0))),"")</f>
        <v/>
      </c>
      <c r="F41" s="46" t="str">
        <f aca="false">IFERROR(IF(INDEX('Shopping List'!$H$5:$H$316,MATCH($A41,'Shopping List'!$O$5:$O$316,0))="","",INDEX('Shopping List'!$H$5:$H$316,MATCH($A41,'Shopping List'!$O$5:$O$316,0))),"")</f>
        <v/>
      </c>
      <c r="G41" s="54" t="str">
        <f aca="false">IFERROR(IF(INDEX('Shopping List'!$I$5:$I$316,MATCH($A41,'Shopping List'!$O$5:$O$316,0))="","",INDEX('Shopping List'!$I$5:$I$316,MATCH($A41,'Shopping List'!$O$5:$O$316,0))),"")</f>
        <v/>
      </c>
      <c r="H41" s="46" t="str">
        <f aca="false">IFERROR(IF(INDEX('Shopping List'!$L$5:$L$316,MATCH($A41,'Shopping List'!$O$5:$O$316,0))="","",INDEX('Shopping List'!$L$5:$L$316,MATCH($A41,'Shopping List'!$O$5:$O$316,0))),"")</f>
        <v/>
      </c>
      <c r="I41" s="46" t="str">
        <f aca="false">IFERROR(IF(INDEX('Shopping List'!$M$5:$M$316,MATCH($A41,'Shopping List'!$O$5:$O$316,0))="","",INDEX('Shopping List'!$M$5:$M$316,MATCH($A41,'Shopping List'!$O$5:$O$316,0))),"")</f>
        <v/>
      </c>
      <c r="J41" s="53" t="str">
        <f aca="false">IFERROR(IF(INDEX('Shopping List'!$N$5:$N$316,MATCH($A41,'Shopping List'!$O$5:$O$316,0))="","",INDEX('Shopping List'!$N$5:$N$316,MATCH($A41,'Shopping List'!$O$5:$O$316,0))),"")</f>
        <v/>
      </c>
    </row>
    <row r="42" customFormat="false" ht="15" hidden="false" customHeight="false" outlineLevel="0" collapsed="false">
      <c r="A42" s="52" t="n">
        <v>35</v>
      </c>
      <c r="B42" s="53" t="str">
        <f aca="false">IFERROR(IF(INDEX('Shopping List'!$D$5:$D$316,MATCH($A42,'Shopping List'!$O$5:$O$316,0))="","",INDEX('Shopping List'!$D$5:$D$316,MATCH($A42,'Shopping List'!$O$5:$O$316,0))),"")</f>
        <v/>
      </c>
      <c r="C42" s="53" t="str">
        <f aca="false">IFERROR(IF(INDEX('Shopping List'!$E$5:$E$316,MATCH($A42,'Shopping List'!$O$5:$O$316,0))="","",INDEX('Shopping List'!$E$5:$E$316,MATCH($A42,'Shopping List'!$O$5:$O$316,0))),"")</f>
        <v/>
      </c>
      <c r="D42" s="53" t="str">
        <f aca="false">IFERROR(IF(INDEX('Shopping List'!$F$5:$F$316,MATCH($A42,'Shopping List'!$O$5:$O$316,0))="","",INDEX('Shopping List'!$F$5:$F$316,MATCH($A42,'Shopping List'!$O$5:$O$316,0))),"")</f>
        <v/>
      </c>
      <c r="E42" s="46" t="str">
        <f aca="false">IFERROR(IF(INDEX('Shopping List'!$G$5:$G$316,MATCH($A42,'Shopping List'!$O$5:$O$316,0))="","",INDEX('Shopping List'!$G$5:$G$316,MATCH($A42,'Shopping List'!$O$5:$O$316,0))),"")</f>
        <v/>
      </c>
      <c r="F42" s="46" t="str">
        <f aca="false">IFERROR(IF(INDEX('Shopping List'!$H$5:$H$316,MATCH($A42,'Shopping List'!$O$5:$O$316,0))="","",INDEX('Shopping List'!$H$5:$H$316,MATCH($A42,'Shopping List'!$O$5:$O$316,0))),"")</f>
        <v/>
      </c>
      <c r="G42" s="54" t="str">
        <f aca="false">IFERROR(IF(INDEX('Shopping List'!$I$5:$I$316,MATCH($A42,'Shopping List'!$O$5:$O$316,0))="","",INDEX('Shopping List'!$I$5:$I$316,MATCH($A42,'Shopping List'!$O$5:$O$316,0))),"")</f>
        <v/>
      </c>
      <c r="H42" s="46" t="str">
        <f aca="false">IFERROR(IF(INDEX('Shopping List'!$L$5:$L$316,MATCH($A42,'Shopping List'!$O$5:$O$316,0))="","",INDEX('Shopping List'!$L$5:$L$316,MATCH($A42,'Shopping List'!$O$5:$O$316,0))),"")</f>
        <v/>
      </c>
      <c r="I42" s="46" t="str">
        <f aca="false">IFERROR(IF(INDEX('Shopping List'!$M$5:$M$316,MATCH($A42,'Shopping List'!$O$5:$O$316,0))="","",INDEX('Shopping List'!$M$5:$M$316,MATCH($A42,'Shopping List'!$O$5:$O$316,0))),"")</f>
        <v/>
      </c>
      <c r="J42" s="53" t="str">
        <f aca="false">IFERROR(IF(INDEX('Shopping List'!$N$5:$N$316,MATCH($A42,'Shopping List'!$O$5:$O$316,0))="","",INDEX('Shopping List'!$N$5:$N$316,MATCH($A42,'Shopping List'!$O$5:$O$316,0))),"")</f>
        <v/>
      </c>
    </row>
    <row r="43" customFormat="false" ht="15" hidden="false" customHeight="false" outlineLevel="0" collapsed="false">
      <c r="A43" s="52" t="n">
        <v>36</v>
      </c>
      <c r="B43" s="53" t="str">
        <f aca="false">IFERROR(IF(INDEX('Shopping List'!$D$5:$D$316,MATCH($A43,'Shopping List'!$O$5:$O$316,0))="","",INDEX('Shopping List'!$D$5:$D$316,MATCH($A43,'Shopping List'!$O$5:$O$316,0))),"")</f>
        <v/>
      </c>
      <c r="C43" s="53" t="str">
        <f aca="false">IFERROR(IF(INDEX('Shopping List'!$E$5:$E$316,MATCH($A43,'Shopping List'!$O$5:$O$316,0))="","",INDEX('Shopping List'!$E$5:$E$316,MATCH($A43,'Shopping List'!$O$5:$O$316,0))),"")</f>
        <v/>
      </c>
      <c r="D43" s="53" t="str">
        <f aca="false">IFERROR(IF(INDEX('Shopping List'!$F$5:$F$316,MATCH($A43,'Shopping List'!$O$5:$O$316,0))="","",INDEX('Shopping List'!$F$5:$F$316,MATCH($A43,'Shopping List'!$O$5:$O$316,0))),"")</f>
        <v/>
      </c>
      <c r="E43" s="46" t="str">
        <f aca="false">IFERROR(IF(INDEX('Shopping List'!$G$5:$G$316,MATCH($A43,'Shopping List'!$O$5:$O$316,0))="","",INDEX('Shopping List'!$G$5:$G$316,MATCH($A43,'Shopping List'!$O$5:$O$316,0))),"")</f>
        <v/>
      </c>
      <c r="F43" s="46" t="str">
        <f aca="false">IFERROR(IF(INDEX('Shopping List'!$H$5:$H$316,MATCH($A43,'Shopping List'!$O$5:$O$316,0))="","",INDEX('Shopping List'!$H$5:$H$316,MATCH($A43,'Shopping List'!$O$5:$O$316,0))),"")</f>
        <v/>
      </c>
      <c r="G43" s="54" t="str">
        <f aca="false">IFERROR(IF(INDEX('Shopping List'!$I$5:$I$316,MATCH($A43,'Shopping List'!$O$5:$O$316,0))="","",INDEX('Shopping List'!$I$5:$I$316,MATCH($A43,'Shopping List'!$O$5:$O$316,0))),"")</f>
        <v/>
      </c>
      <c r="H43" s="46" t="str">
        <f aca="false">IFERROR(IF(INDEX('Shopping List'!$L$5:$L$316,MATCH($A43,'Shopping List'!$O$5:$O$316,0))="","",INDEX('Shopping List'!$L$5:$L$316,MATCH($A43,'Shopping List'!$O$5:$O$316,0))),"")</f>
        <v/>
      </c>
      <c r="I43" s="46" t="str">
        <f aca="false">IFERROR(IF(INDEX('Shopping List'!$M$5:$M$316,MATCH($A43,'Shopping List'!$O$5:$O$316,0))="","",INDEX('Shopping List'!$M$5:$M$316,MATCH($A43,'Shopping List'!$O$5:$O$316,0))),"")</f>
        <v/>
      </c>
      <c r="J43" s="53" t="str">
        <f aca="false">IFERROR(IF(INDEX('Shopping List'!$N$5:$N$316,MATCH($A43,'Shopping List'!$O$5:$O$316,0))="","",INDEX('Shopping List'!$N$5:$N$316,MATCH($A43,'Shopping List'!$O$5:$O$316,0))),"")</f>
        <v/>
      </c>
    </row>
    <row r="44" customFormat="false" ht="15" hidden="false" customHeight="false" outlineLevel="0" collapsed="false">
      <c r="A44" s="52" t="n">
        <v>37</v>
      </c>
      <c r="B44" s="53" t="str">
        <f aca="false">IFERROR(IF(INDEX('Shopping List'!$D$5:$D$316,MATCH($A44,'Shopping List'!$O$5:$O$316,0))="","",INDEX('Shopping List'!$D$5:$D$316,MATCH($A44,'Shopping List'!$O$5:$O$316,0))),"")</f>
        <v/>
      </c>
      <c r="C44" s="53" t="str">
        <f aca="false">IFERROR(IF(INDEX('Shopping List'!$E$5:$E$316,MATCH($A44,'Shopping List'!$O$5:$O$316,0))="","",INDEX('Shopping List'!$E$5:$E$316,MATCH($A44,'Shopping List'!$O$5:$O$316,0))),"")</f>
        <v/>
      </c>
      <c r="D44" s="53" t="str">
        <f aca="false">IFERROR(IF(INDEX('Shopping List'!$F$5:$F$316,MATCH($A44,'Shopping List'!$O$5:$O$316,0))="","",INDEX('Shopping List'!$F$5:$F$316,MATCH($A44,'Shopping List'!$O$5:$O$316,0))),"")</f>
        <v/>
      </c>
      <c r="E44" s="46" t="str">
        <f aca="false">IFERROR(IF(INDEX('Shopping List'!$G$5:$G$316,MATCH($A44,'Shopping List'!$O$5:$O$316,0))="","",INDEX('Shopping List'!$G$5:$G$316,MATCH($A44,'Shopping List'!$O$5:$O$316,0))),"")</f>
        <v/>
      </c>
      <c r="F44" s="46" t="str">
        <f aca="false">IFERROR(IF(INDEX('Shopping List'!$H$5:$H$316,MATCH($A44,'Shopping List'!$O$5:$O$316,0))="","",INDEX('Shopping List'!$H$5:$H$316,MATCH($A44,'Shopping List'!$O$5:$O$316,0))),"")</f>
        <v/>
      </c>
      <c r="G44" s="54" t="str">
        <f aca="false">IFERROR(IF(INDEX('Shopping List'!$I$5:$I$316,MATCH($A44,'Shopping List'!$O$5:$O$316,0))="","",INDEX('Shopping List'!$I$5:$I$316,MATCH($A44,'Shopping List'!$O$5:$O$316,0))),"")</f>
        <v/>
      </c>
      <c r="H44" s="46" t="str">
        <f aca="false">IFERROR(IF(INDEX('Shopping List'!$L$5:$L$316,MATCH($A44,'Shopping List'!$O$5:$O$316,0))="","",INDEX('Shopping List'!$L$5:$L$316,MATCH($A44,'Shopping List'!$O$5:$O$316,0))),"")</f>
        <v/>
      </c>
      <c r="I44" s="46" t="str">
        <f aca="false">IFERROR(IF(INDEX('Shopping List'!$M$5:$M$316,MATCH($A44,'Shopping List'!$O$5:$O$316,0))="","",INDEX('Shopping List'!$M$5:$M$316,MATCH($A44,'Shopping List'!$O$5:$O$316,0))),"")</f>
        <v/>
      </c>
      <c r="J44" s="53" t="str">
        <f aca="false">IFERROR(IF(INDEX('Shopping List'!$N$5:$N$316,MATCH($A44,'Shopping List'!$O$5:$O$316,0))="","",INDEX('Shopping List'!$N$5:$N$316,MATCH($A44,'Shopping List'!$O$5:$O$316,0))),"")</f>
        <v/>
      </c>
    </row>
    <row r="45" customFormat="false" ht="15" hidden="false" customHeight="false" outlineLevel="0" collapsed="false">
      <c r="A45" s="52" t="n">
        <v>38</v>
      </c>
      <c r="B45" s="53" t="str">
        <f aca="false">IFERROR(IF(INDEX('Shopping List'!$D$5:$D$316,MATCH($A45,'Shopping List'!$O$5:$O$316,0))="","",INDEX('Shopping List'!$D$5:$D$316,MATCH($A45,'Shopping List'!$O$5:$O$316,0))),"")</f>
        <v/>
      </c>
      <c r="C45" s="53" t="str">
        <f aca="false">IFERROR(IF(INDEX('Shopping List'!$E$5:$E$316,MATCH($A45,'Shopping List'!$O$5:$O$316,0))="","",INDEX('Shopping List'!$E$5:$E$316,MATCH($A45,'Shopping List'!$O$5:$O$316,0))),"")</f>
        <v/>
      </c>
      <c r="D45" s="53" t="str">
        <f aca="false">IFERROR(IF(INDEX('Shopping List'!$F$5:$F$316,MATCH($A45,'Shopping List'!$O$5:$O$316,0))="","",INDEX('Shopping List'!$F$5:$F$316,MATCH($A45,'Shopping List'!$O$5:$O$316,0))),"")</f>
        <v/>
      </c>
      <c r="E45" s="46" t="str">
        <f aca="false">IFERROR(IF(INDEX('Shopping List'!$G$5:$G$316,MATCH($A45,'Shopping List'!$O$5:$O$316,0))="","",INDEX('Shopping List'!$G$5:$G$316,MATCH($A45,'Shopping List'!$O$5:$O$316,0))),"")</f>
        <v/>
      </c>
      <c r="F45" s="46" t="str">
        <f aca="false">IFERROR(IF(INDEX('Shopping List'!$H$5:$H$316,MATCH($A45,'Shopping List'!$O$5:$O$316,0))="","",INDEX('Shopping List'!$H$5:$H$316,MATCH($A45,'Shopping List'!$O$5:$O$316,0))),"")</f>
        <v/>
      </c>
      <c r="G45" s="54" t="str">
        <f aca="false">IFERROR(IF(INDEX('Shopping List'!$I$5:$I$316,MATCH($A45,'Shopping List'!$O$5:$O$316,0))="","",INDEX('Shopping List'!$I$5:$I$316,MATCH($A45,'Shopping List'!$O$5:$O$316,0))),"")</f>
        <v/>
      </c>
      <c r="H45" s="46" t="str">
        <f aca="false">IFERROR(IF(INDEX('Shopping List'!$L$5:$L$316,MATCH($A45,'Shopping List'!$O$5:$O$316,0))="","",INDEX('Shopping List'!$L$5:$L$316,MATCH($A45,'Shopping List'!$O$5:$O$316,0))),"")</f>
        <v/>
      </c>
      <c r="I45" s="46" t="str">
        <f aca="false">IFERROR(IF(INDEX('Shopping List'!$M$5:$M$316,MATCH($A45,'Shopping List'!$O$5:$O$316,0))="","",INDEX('Shopping List'!$M$5:$M$316,MATCH($A45,'Shopping List'!$O$5:$O$316,0))),"")</f>
        <v/>
      </c>
      <c r="J45" s="53" t="str">
        <f aca="false">IFERROR(IF(INDEX('Shopping List'!$N$5:$N$316,MATCH($A45,'Shopping List'!$O$5:$O$316,0))="","",INDEX('Shopping List'!$N$5:$N$316,MATCH($A45,'Shopping List'!$O$5:$O$316,0))),"")</f>
        <v/>
      </c>
    </row>
    <row r="46" customFormat="false" ht="15" hidden="false" customHeight="false" outlineLevel="0" collapsed="false">
      <c r="A46" s="52" t="n">
        <v>39</v>
      </c>
      <c r="B46" s="53" t="str">
        <f aca="false">IFERROR(IF(INDEX('Shopping List'!$D$5:$D$316,MATCH($A46,'Shopping List'!$O$5:$O$316,0))="","",INDEX('Shopping List'!$D$5:$D$316,MATCH($A46,'Shopping List'!$O$5:$O$316,0))),"")</f>
        <v/>
      </c>
      <c r="C46" s="53" t="str">
        <f aca="false">IFERROR(IF(INDEX('Shopping List'!$E$5:$E$316,MATCH($A46,'Shopping List'!$O$5:$O$316,0))="","",INDEX('Shopping List'!$E$5:$E$316,MATCH($A46,'Shopping List'!$O$5:$O$316,0))),"")</f>
        <v/>
      </c>
      <c r="D46" s="53" t="str">
        <f aca="false">IFERROR(IF(INDEX('Shopping List'!$F$5:$F$316,MATCH($A46,'Shopping List'!$O$5:$O$316,0))="","",INDEX('Shopping List'!$F$5:$F$316,MATCH($A46,'Shopping List'!$O$5:$O$316,0))),"")</f>
        <v/>
      </c>
      <c r="E46" s="46" t="str">
        <f aca="false">IFERROR(IF(INDEX('Shopping List'!$G$5:$G$316,MATCH($A46,'Shopping List'!$O$5:$O$316,0))="","",INDEX('Shopping List'!$G$5:$G$316,MATCH($A46,'Shopping List'!$O$5:$O$316,0))),"")</f>
        <v/>
      </c>
      <c r="F46" s="46" t="str">
        <f aca="false">IFERROR(IF(INDEX('Shopping List'!$H$5:$H$316,MATCH($A46,'Shopping List'!$O$5:$O$316,0))="","",INDEX('Shopping List'!$H$5:$H$316,MATCH($A46,'Shopping List'!$O$5:$O$316,0))),"")</f>
        <v/>
      </c>
      <c r="G46" s="54" t="str">
        <f aca="false">IFERROR(IF(INDEX('Shopping List'!$I$5:$I$316,MATCH($A46,'Shopping List'!$O$5:$O$316,0))="","",INDEX('Shopping List'!$I$5:$I$316,MATCH($A46,'Shopping List'!$O$5:$O$316,0))),"")</f>
        <v/>
      </c>
      <c r="H46" s="46" t="str">
        <f aca="false">IFERROR(IF(INDEX('Shopping List'!$L$5:$L$316,MATCH($A46,'Shopping List'!$O$5:$O$316,0))="","",INDEX('Shopping List'!$L$5:$L$316,MATCH($A46,'Shopping List'!$O$5:$O$316,0))),"")</f>
        <v/>
      </c>
      <c r="I46" s="46" t="str">
        <f aca="false">IFERROR(IF(INDEX('Shopping List'!$M$5:$M$316,MATCH($A46,'Shopping List'!$O$5:$O$316,0))="","",INDEX('Shopping List'!$M$5:$M$316,MATCH($A46,'Shopping List'!$O$5:$O$316,0))),"")</f>
        <v/>
      </c>
      <c r="J46" s="53" t="str">
        <f aca="false">IFERROR(IF(INDEX('Shopping List'!$N$5:$N$316,MATCH($A46,'Shopping List'!$O$5:$O$316,0))="","",INDEX('Shopping List'!$N$5:$N$316,MATCH($A46,'Shopping List'!$O$5:$O$316,0))),"")</f>
        <v/>
      </c>
    </row>
    <row r="47" customFormat="false" ht="15" hidden="false" customHeight="false" outlineLevel="0" collapsed="false">
      <c r="A47" s="52" t="n">
        <v>40</v>
      </c>
      <c r="B47" s="53" t="str">
        <f aca="false">IFERROR(IF(INDEX('Shopping List'!$D$5:$D$316,MATCH($A47,'Shopping List'!$O$5:$O$316,0))="","",INDEX('Shopping List'!$D$5:$D$316,MATCH($A47,'Shopping List'!$O$5:$O$316,0))),"")</f>
        <v/>
      </c>
      <c r="C47" s="53" t="str">
        <f aca="false">IFERROR(IF(INDEX('Shopping List'!$E$5:$E$316,MATCH($A47,'Shopping List'!$O$5:$O$316,0))="","",INDEX('Shopping List'!$E$5:$E$316,MATCH($A47,'Shopping List'!$O$5:$O$316,0))),"")</f>
        <v/>
      </c>
      <c r="D47" s="53" t="str">
        <f aca="false">IFERROR(IF(INDEX('Shopping List'!$F$5:$F$316,MATCH($A47,'Shopping List'!$O$5:$O$316,0))="","",INDEX('Shopping List'!$F$5:$F$316,MATCH($A47,'Shopping List'!$O$5:$O$316,0))),"")</f>
        <v/>
      </c>
      <c r="E47" s="46" t="str">
        <f aca="false">IFERROR(IF(INDEX('Shopping List'!$G$5:$G$316,MATCH($A47,'Shopping List'!$O$5:$O$316,0))="","",INDEX('Shopping List'!$G$5:$G$316,MATCH($A47,'Shopping List'!$O$5:$O$316,0))),"")</f>
        <v/>
      </c>
      <c r="F47" s="46" t="str">
        <f aca="false">IFERROR(IF(INDEX('Shopping List'!$H$5:$H$316,MATCH($A47,'Shopping List'!$O$5:$O$316,0))="","",INDEX('Shopping List'!$H$5:$H$316,MATCH($A47,'Shopping List'!$O$5:$O$316,0))),"")</f>
        <v/>
      </c>
      <c r="G47" s="54" t="str">
        <f aca="false">IFERROR(IF(INDEX('Shopping List'!$I$5:$I$316,MATCH($A47,'Shopping List'!$O$5:$O$316,0))="","",INDEX('Shopping List'!$I$5:$I$316,MATCH($A47,'Shopping List'!$O$5:$O$316,0))),"")</f>
        <v/>
      </c>
      <c r="H47" s="46" t="str">
        <f aca="false">IFERROR(IF(INDEX('Shopping List'!$L$5:$L$316,MATCH($A47,'Shopping List'!$O$5:$O$316,0))="","",INDEX('Shopping List'!$L$5:$L$316,MATCH($A47,'Shopping List'!$O$5:$O$316,0))),"")</f>
        <v/>
      </c>
      <c r="I47" s="46" t="str">
        <f aca="false">IFERROR(IF(INDEX('Shopping List'!$M$5:$M$316,MATCH($A47,'Shopping List'!$O$5:$O$316,0))="","",INDEX('Shopping List'!$M$5:$M$316,MATCH($A47,'Shopping List'!$O$5:$O$316,0))),"")</f>
        <v/>
      </c>
      <c r="J47" s="53" t="str">
        <f aca="false">IFERROR(IF(INDEX('Shopping List'!$N$5:$N$316,MATCH($A47,'Shopping List'!$O$5:$O$316,0))="","",INDEX('Shopping List'!$N$5:$N$316,MATCH($A47,'Shopping List'!$O$5:$O$316,0))),"")</f>
        <v/>
      </c>
    </row>
    <row r="48" customFormat="false" ht="15" hidden="false" customHeight="false" outlineLevel="0" collapsed="false">
      <c r="A48" s="52" t="n">
        <v>41</v>
      </c>
      <c r="B48" s="53" t="str">
        <f aca="false">IFERROR(IF(INDEX('Shopping List'!$D$5:$D$316,MATCH($A48,'Shopping List'!$O$5:$O$316,0))="","",INDEX('Shopping List'!$D$5:$D$316,MATCH($A48,'Shopping List'!$O$5:$O$316,0))),"")</f>
        <v/>
      </c>
      <c r="C48" s="53" t="str">
        <f aca="false">IFERROR(IF(INDEX('Shopping List'!$E$5:$E$316,MATCH($A48,'Shopping List'!$O$5:$O$316,0))="","",INDEX('Shopping List'!$E$5:$E$316,MATCH($A48,'Shopping List'!$O$5:$O$316,0))),"")</f>
        <v/>
      </c>
      <c r="D48" s="53" t="str">
        <f aca="false">IFERROR(IF(INDEX('Shopping List'!$F$5:$F$316,MATCH($A48,'Shopping List'!$O$5:$O$316,0))="","",INDEX('Shopping List'!$F$5:$F$316,MATCH($A48,'Shopping List'!$O$5:$O$316,0))),"")</f>
        <v/>
      </c>
      <c r="E48" s="46" t="str">
        <f aca="false">IFERROR(IF(INDEX('Shopping List'!$G$5:$G$316,MATCH($A48,'Shopping List'!$O$5:$O$316,0))="","",INDEX('Shopping List'!$G$5:$G$316,MATCH($A48,'Shopping List'!$O$5:$O$316,0))),"")</f>
        <v/>
      </c>
      <c r="F48" s="46" t="str">
        <f aca="false">IFERROR(IF(INDEX('Shopping List'!$H$5:$H$316,MATCH($A48,'Shopping List'!$O$5:$O$316,0))="","",INDEX('Shopping List'!$H$5:$H$316,MATCH($A48,'Shopping List'!$O$5:$O$316,0))),"")</f>
        <v/>
      </c>
      <c r="G48" s="54" t="str">
        <f aca="false">IFERROR(IF(INDEX('Shopping List'!$I$5:$I$316,MATCH($A48,'Shopping List'!$O$5:$O$316,0))="","",INDEX('Shopping List'!$I$5:$I$316,MATCH($A48,'Shopping List'!$O$5:$O$316,0))),"")</f>
        <v/>
      </c>
      <c r="H48" s="46" t="str">
        <f aca="false">IFERROR(IF(INDEX('Shopping List'!$L$5:$L$316,MATCH($A48,'Shopping List'!$O$5:$O$316,0))="","",INDEX('Shopping List'!$L$5:$L$316,MATCH($A48,'Shopping List'!$O$5:$O$316,0))),"")</f>
        <v/>
      </c>
      <c r="I48" s="46" t="str">
        <f aca="false">IFERROR(IF(INDEX('Shopping List'!$M$5:$M$316,MATCH($A48,'Shopping List'!$O$5:$O$316,0))="","",INDEX('Shopping List'!$M$5:$M$316,MATCH($A48,'Shopping List'!$O$5:$O$316,0))),"")</f>
        <v/>
      </c>
      <c r="J48" s="53" t="str">
        <f aca="false">IFERROR(IF(INDEX('Shopping List'!$N$5:$N$316,MATCH($A48,'Shopping List'!$O$5:$O$316,0))="","",INDEX('Shopping List'!$N$5:$N$316,MATCH($A48,'Shopping List'!$O$5:$O$316,0))),"")</f>
        <v/>
      </c>
    </row>
    <row r="49" customFormat="false" ht="15" hidden="false" customHeight="false" outlineLevel="0" collapsed="false">
      <c r="A49" s="52" t="n">
        <v>42</v>
      </c>
      <c r="B49" s="53" t="str">
        <f aca="false">IFERROR(IF(INDEX('Shopping List'!$D$5:$D$316,MATCH($A49,'Shopping List'!$O$5:$O$316,0))="","",INDEX('Shopping List'!$D$5:$D$316,MATCH($A49,'Shopping List'!$O$5:$O$316,0))),"")</f>
        <v/>
      </c>
      <c r="C49" s="53" t="str">
        <f aca="false">IFERROR(IF(INDEX('Shopping List'!$E$5:$E$316,MATCH($A49,'Shopping List'!$O$5:$O$316,0))="","",INDEX('Shopping List'!$E$5:$E$316,MATCH($A49,'Shopping List'!$O$5:$O$316,0))),"")</f>
        <v/>
      </c>
      <c r="D49" s="53" t="str">
        <f aca="false">IFERROR(IF(INDEX('Shopping List'!$F$5:$F$316,MATCH($A49,'Shopping List'!$O$5:$O$316,0))="","",INDEX('Shopping List'!$F$5:$F$316,MATCH($A49,'Shopping List'!$O$5:$O$316,0))),"")</f>
        <v/>
      </c>
      <c r="E49" s="46" t="str">
        <f aca="false">IFERROR(IF(INDEX('Shopping List'!$G$5:$G$316,MATCH($A49,'Shopping List'!$O$5:$O$316,0))="","",INDEX('Shopping List'!$G$5:$G$316,MATCH($A49,'Shopping List'!$O$5:$O$316,0))),"")</f>
        <v/>
      </c>
      <c r="F49" s="46" t="str">
        <f aca="false">IFERROR(IF(INDEX('Shopping List'!$H$5:$H$316,MATCH($A49,'Shopping List'!$O$5:$O$316,0))="","",INDEX('Shopping List'!$H$5:$H$316,MATCH($A49,'Shopping List'!$O$5:$O$316,0))),"")</f>
        <v/>
      </c>
      <c r="G49" s="54" t="str">
        <f aca="false">IFERROR(IF(INDEX('Shopping List'!$I$5:$I$316,MATCH($A49,'Shopping List'!$O$5:$O$316,0))="","",INDEX('Shopping List'!$I$5:$I$316,MATCH($A49,'Shopping List'!$O$5:$O$316,0))),"")</f>
        <v/>
      </c>
      <c r="H49" s="46" t="str">
        <f aca="false">IFERROR(IF(INDEX('Shopping List'!$L$5:$L$316,MATCH($A49,'Shopping List'!$O$5:$O$316,0))="","",INDEX('Shopping List'!$L$5:$L$316,MATCH($A49,'Shopping List'!$O$5:$O$316,0))),"")</f>
        <v/>
      </c>
      <c r="I49" s="46" t="str">
        <f aca="false">IFERROR(IF(INDEX('Shopping List'!$M$5:$M$316,MATCH($A49,'Shopping List'!$O$5:$O$316,0))="","",INDEX('Shopping List'!$M$5:$M$316,MATCH($A49,'Shopping List'!$O$5:$O$316,0))),"")</f>
        <v/>
      </c>
      <c r="J49" s="53" t="str">
        <f aca="false">IFERROR(IF(INDEX('Shopping List'!$N$5:$N$316,MATCH($A49,'Shopping List'!$O$5:$O$316,0))="","",INDEX('Shopping List'!$N$5:$N$316,MATCH($A49,'Shopping List'!$O$5:$O$316,0))),"")</f>
        <v/>
      </c>
    </row>
    <row r="50" customFormat="false" ht="15" hidden="false" customHeight="false" outlineLevel="0" collapsed="false">
      <c r="A50" s="52" t="n">
        <v>43</v>
      </c>
      <c r="B50" s="53" t="str">
        <f aca="false">IFERROR(IF(INDEX('Shopping List'!$D$5:$D$316,MATCH($A50,'Shopping List'!$O$5:$O$316,0))="","",INDEX('Shopping List'!$D$5:$D$316,MATCH($A50,'Shopping List'!$O$5:$O$316,0))),"")</f>
        <v/>
      </c>
      <c r="C50" s="53" t="str">
        <f aca="false">IFERROR(IF(INDEX('Shopping List'!$E$5:$E$316,MATCH($A50,'Shopping List'!$O$5:$O$316,0))="","",INDEX('Shopping List'!$E$5:$E$316,MATCH($A50,'Shopping List'!$O$5:$O$316,0))),"")</f>
        <v/>
      </c>
      <c r="D50" s="53" t="str">
        <f aca="false">IFERROR(IF(INDEX('Shopping List'!$F$5:$F$316,MATCH($A50,'Shopping List'!$O$5:$O$316,0))="","",INDEX('Shopping List'!$F$5:$F$316,MATCH($A50,'Shopping List'!$O$5:$O$316,0))),"")</f>
        <v/>
      </c>
      <c r="E50" s="46" t="str">
        <f aca="false">IFERROR(IF(INDEX('Shopping List'!$G$5:$G$316,MATCH($A50,'Shopping List'!$O$5:$O$316,0))="","",INDEX('Shopping List'!$G$5:$G$316,MATCH($A50,'Shopping List'!$O$5:$O$316,0))),"")</f>
        <v/>
      </c>
      <c r="F50" s="46" t="str">
        <f aca="false">IFERROR(IF(INDEX('Shopping List'!$H$5:$H$316,MATCH($A50,'Shopping List'!$O$5:$O$316,0))="","",INDEX('Shopping List'!$H$5:$H$316,MATCH($A50,'Shopping List'!$O$5:$O$316,0))),"")</f>
        <v/>
      </c>
      <c r="G50" s="54" t="str">
        <f aca="false">IFERROR(IF(INDEX('Shopping List'!$I$5:$I$316,MATCH($A50,'Shopping List'!$O$5:$O$316,0))="","",INDEX('Shopping List'!$I$5:$I$316,MATCH($A50,'Shopping List'!$O$5:$O$316,0))),"")</f>
        <v/>
      </c>
      <c r="H50" s="46" t="str">
        <f aca="false">IFERROR(IF(INDEX('Shopping List'!$L$5:$L$316,MATCH($A50,'Shopping List'!$O$5:$O$316,0))="","",INDEX('Shopping List'!$L$5:$L$316,MATCH($A50,'Shopping List'!$O$5:$O$316,0))),"")</f>
        <v/>
      </c>
      <c r="I50" s="46" t="str">
        <f aca="false">IFERROR(IF(INDEX('Shopping List'!$M$5:$M$316,MATCH($A50,'Shopping List'!$O$5:$O$316,0))="","",INDEX('Shopping List'!$M$5:$M$316,MATCH($A50,'Shopping List'!$O$5:$O$316,0))),"")</f>
        <v/>
      </c>
      <c r="J50" s="53" t="str">
        <f aca="false">IFERROR(IF(INDEX('Shopping List'!$N$5:$N$316,MATCH($A50,'Shopping List'!$O$5:$O$316,0))="","",INDEX('Shopping List'!$N$5:$N$316,MATCH($A50,'Shopping List'!$O$5:$O$316,0))),"")</f>
        <v/>
      </c>
    </row>
    <row r="51" customFormat="false" ht="15" hidden="false" customHeight="false" outlineLevel="0" collapsed="false">
      <c r="A51" s="52" t="n">
        <v>44</v>
      </c>
      <c r="B51" s="53" t="str">
        <f aca="false">IFERROR(IF(INDEX('Shopping List'!$D$5:$D$316,MATCH($A51,'Shopping List'!$O$5:$O$316,0))="","",INDEX('Shopping List'!$D$5:$D$316,MATCH($A51,'Shopping List'!$O$5:$O$316,0))),"")</f>
        <v/>
      </c>
      <c r="C51" s="53" t="str">
        <f aca="false">IFERROR(IF(INDEX('Shopping List'!$E$5:$E$316,MATCH($A51,'Shopping List'!$O$5:$O$316,0))="","",INDEX('Shopping List'!$E$5:$E$316,MATCH($A51,'Shopping List'!$O$5:$O$316,0))),"")</f>
        <v/>
      </c>
      <c r="D51" s="53" t="str">
        <f aca="false">IFERROR(IF(INDEX('Shopping List'!$F$5:$F$316,MATCH($A51,'Shopping List'!$O$5:$O$316,0))="","",INDEX('Shopping List'!$F$5:$F$316,MATCH($A51,'Shopping List'!$O$5:$O$316,0))),"")</f>
        <v/>
      </c>
      <c r="E51" s="46" t="str">
        <f aca="false">IFERROR(IF(INDEX('Shopping List'!$G$5:$G$316,MATCH($A51,'Shopping List'!$O$5:$O$316,0))="","",INDEX('Shopping List'!$G$5:$G$316,MATCH($A51,'Shopping List'!$O$5:$O$316,0))),"")</f>
        <v/>
      </c>
      <c r="F51" s="46" t="str">
        <f aca="false">IFERROR(IF(INDEX('Shopping List'!$H$5:$H$316,MATCH($A51,'Shopping List'!$O$5:$O$316,0))="","",INDEX('Shopping List'!$H$5:$H$316,MATCH($A51,'Shopping List'!$O$5:$O$316,0))),"")</f>
        <v/>
      </c>
      <c r="G51" s="54" t="str">
        <f aca="false">IFERROR(IF(INDEX('Shopping List'!$I$5:$I$316,MATCH($A51,'Shopping List'!$O$5:$O$316,0))="","",INDEX('Shopping List'!$I$5:$I$316,MATCH($A51,'Shopping List'!$O$5:$O$316,0))),"")</f>
        <v/>
      </c>
      <c r="H51" s="46" t="str">
        <f aca="false">IFERROR(IF(INDEX('Shopping List'!$L$5:$L$316,MATCH($A51,'Shopping List'!$O$5:$O$316,0))="","",INDEX('Shopping List'!$L$5:$L$316,MATCH($A51,'Shopping List'!$O$5:$O$316,0))),"")</f>
        <v/>
      </c>
      <c r="I51" s="46" t="str">
        <f aca="false">IFERROR(IF(INDEX('Shopping List'!$M$5:$M$316,MATCH($A51,'Shopping List'!$O$5:$O$316,0))="","",INDEX('Shopping List'!$M$5:$M$316,MATCH($A51,'Shopping List'!$O$5:$O$316,0))),"")</f>
        <v/>
      </c>
      <c r="J51" s="53" t="str">
        <f aca="false">IFERROR(IF(INDEX('Shopping List'!$N$5:$N$316,MATCH($A51,'Shopping List'!$O$5:$O$316,0))="","",INDEX('Shopping List'!$N$5:$N$316,MATCH($A51,'Shopping List'!$O$5:$O$316,0))),"")</f>
        <v/>
      </c>
    </row>
    <row r="52" customFormat="false" ht="15" hidden="false" customHeight="false" outlineLevel="0" collapsed="false">
      <c r="A52" s="52" t="n">
        <v>45</v>
      </c>
      <c r="B52" s="53" t="str">
        <f aca="false">IFERROR(IF(INDEX('Shopping List'!$D$5:$D$316,MATCH($A52,'Shopping List'!$O$5:$O$316,0))="","",INDEX('Shopping List'!$D$5:$D$316,MATCH($A52,'Shopping List'!$O$5:$O$316,0))),"")</f>
        <v/>
      </c>
      <c r="C52" s="53" t="str">
        <f aca="false">IFERROR(IF(INDEX('Shopping List'!$E$5:$E$316,MATCH($A52,'Shopping List'!$O$5:$O$316,0))="","",INDEX('Shopping List'!$E$5:$E$316,MATCH($A52,'Shopping List'!$O$5:$O$316,0))),"")</f>
        <v/>
      </c>
      <c r="D52" s="53" t="str">
        <f aca="false">IFERROR(IF(INDEX('Shopping List'!$F$5:$F$316,MATCH($A52,'Shopping List'!$O$5:$O$316,0))="","",INDEX('Shopping List'!$F$5:$F$316,MATCH($A52,'Shopping List'!$O$5:$O$316,0))),"")</f>
        <v/>
      </c>
      <c r="E52" s="46" t="str">
        <f aca="false">IFERROR(IF(INDEX('Shopping List'!$G$5:$G$316,MATCH($A52,'Shopping List'!$O$5:$O$316,0))="","",INDEX('Shopping List'!$G$5:$G$316,MATCH($A52,'Shopping List'!$O$5:$O$316,0))),"")</f>
        <v/>
      </c>
      <c r="F52" s="46" t="str">
        <f aca="false">IFERROR(IF(INDEX('Shopping List'!$H$5:$H$316,MATCH($A52,'Shopping List'!$O$5:$O$316,0))="","",INDEX('Shopping List'!$H$5:$H$316,MATCH($A52,'Shopping List'!$O$5:$O$316,0))),"")</f>
        <v/>
      </c>
      <c r="G52" s="54" t="str">
        <f aca="false">IFERROR(IF(INDEX('Shopping List'!$I$5:$I$316,MATCH($A52,'Shopping List'!$O$5:$O$316,0))="","",INDEX('Shopping List'!$I$5:$I$316,MATCH($A52,'Shopping List'!$O$5:$O$316,0))),"")</f>
        <v/>
      </c>
      <c r="H52" s="46" t="str">
        <f aca="false">IFERROR(IF(INDEX('Shopping List'!$L$5:$L$316,MATCH($A52,'Shopping List'!$O$5:$O$316,0))="","",INDEX('Shopping List'!$L$5:$L$316,MATCH($A52,'Shopping List'!$O$5:$O$316,0))),"")</f>
        <v/>
      </c>
      <c r="I52" s="46" t="str">
        <f aca="false">IFERROR(IF(INDEX('Shopping List'!$M$5:$M$316,MATCH($A52,'Shopping List'!$O$5:$O$316,0))="","",INDEX('Shopping List'!$M$5:$M$316,MATCH($A52,'Shopping List'!$O$5:$O$316,0))),"")</f>
        <v/>
      </c>
      <c r="J52" s="53" t="str">
        <f aca="false">IFERROR(IF(INDEX('Shopping List'!$N$5:$N$316,MATCH($A52,'Shopping List'!$O$5:$O$316,0))="","",INDEX('Shopping List'!$N$5:$N$316,MATCH($A52,'Shopping List'!$O$5:$O$316,0))),"")</f>
        <v/>
      </c>
    </row>
    <row r="53" customFormat="false" ht="15" hidden="false" customHeight="false" outlineLevel="0" collapsed="false">
      <c r="A53" s="52" t="n">
        <v>46</v>
      </c>
      <c r="B53" s="53" t="str">
        <f aca="false">IFERROR(IF(INDEX('Shopping List'!$D$5:$D$316,MATCH($A53,'Shopping List'!$O$5:$O$316,0))="","",INDEX('Shopping List'!$D$5:$D$316,MATCH($A53,'Shopping List'!$O$5:$O$316,0))),"")</f>
        <v/>
      </c>
      <c r="C53" s="53" t="str">
        <f aca="false">IFERROR(IF(INDEX('Shopping List'!$E$5:$E$316,MATCH($A53,'Shopping List'!$O$5:$O$316,0))="","",INDEX('Shopping List'!$E$5:$E$316,MATCH($A53,'Shopping List'!$O$5:$O$316,0))),"")</f>
        <v/>
      </c>
      <c r="D53" s="53" t="str">
        <f aca="false">IFERROR(IF(INDEX('Shopping List'!$F$5:$F$316,MATCH($A53,'Shopping List'!$O$5:$O$316,0))="","",INDEX('Shopping List'!$F$5:$F$316,MATCH($A53,'Shopping List'!$O$5:$O$316,0))),"")</f>
        <v/>
      </c>
      <c r="E53" s="46" t="str">
        <f aca="false">IFERROR(IF(INDEX('Shopping List'!$G$5:$G$316,MATCH($A53,'Shopping List'!$O$5:$O$316,0))="","",INDEX('Shopping List'!$G$5:$G$316,MATCH($A53,'Shopping List'!$O$5:$O$316,0))),"")</f>
        <v/>
      </c>
      <c r="F53" s="46" t="str">
        <f aca="false">IFERROR(IF(INDEX('Shopping List'!$H$5:$H$316,MATCH($A53,'Shopping List'!$O$5:$O$316,0))="","",INDEX('Shopping List'!$H$5:$H$316,MATCH($A53,'Shopping List'!$O$5:$O$316,0))),"")</f>
        <v/>
      </c>
      <c r="G53" s="54" t="str">
        <f aca="false">IFERROR(IF(INDEX('Shopping List'!$I$5:$I$316,MATCH($A53,'Shopping List'!$O$5:$O$316,0))="","",INDEX('Shopping List'!$I$5:$I$316,MATCH($A53,'Shopping List'!$O$5:$O$316,0))),"")</f>
        <v/>
      </c>
      <c r="H53" s="46" t="str">
        <f aca="false">IFERROR(IF(INDEX('Shopping List'!$L$5:$L$316,MATCH($A53,'Shopping List'!$O$5:$O$316,0))="","",INDEX('Shopping List'!$L$5:$L$316,MATCH($A53,'Shopping List'!$O$5:$O$316,0))),"")</f>
        <v/>
      </c>
      <c r="I53" s="46" t="str">
        <f aca="false">IFERROR(IF(INDEX('Shopping List'!$M$5:$M$316,MATCH($A53,'Shopping List'!$O$5:$O$316,0))="","",INDEX('Shopping List'!$M$5:$M$316,MATCH($A53,'Shopping List'!$O$5:$O$316,0))),"")</f>
        <v/>
      </c>
      <c r="J53" s="53" t="str">
        <f aca="false">IFERROR(IF(INDEX('Shopping List'!$N$5:$N$316,MATCH($A53,'Shopping List'!$O$5:$O$316,0))="","",INDEX('Shopping List'!$N$5:$N$316,MATCH($A53,'Shopping List'!$O$5:$O$316,0))),"")</f>
        <v/>
      </c>
    </row>
    <row r="54" customFormat="false" ht="15" hidden="false" customHeight="false" outlineLevel="0" collapsed="false">
      <c r="A54" s="52" t="n">
        <v>47</v>
      </c>
      <c r="B54" s="53" t="str">
        <f aca="false">IFERROR(IF(INDEX('Shopping List'!$D$5:$D$316,MATCH($A54,'Shopping List'!$O$5:$O$316,0))="","",INDEX('Shopping List'!$D$5:$D$316,MATCH($A54,'Shopping List'!$O$5:$O$316,0))),"")</f>
        <v/>
      </c>
      <c r="C54" s="53" t="str">
        <f aca="false">IFERROR(IF(INDEX('Shopping List'!$E$5:$E$316,MATCH($A54,'Shopping List'!$O$5:$O$316,0))="","",INDEX('Shopping List'!$E$5:$E$316,MATCH($A54,'Shopping List'!$O$5:$O$316,0))),"")</f>
        <v/>
      </c>
      <c r="D54" s="53" t="str">
        <f aca="false">IFERROR(IF(INDEX('Shopping List'!$F$5:$F$316,MATCH($A54,'Shopping List'!$O$5:$O$316,0))="","",INDEX('Shopping List'!$F$5:$F$316,MATCH($A54,'Shopping List'!$O$5:$O$316,0))),"")</f>
        <v/>
      </c>
      <c r="E54" s="46" t="str">
        <f aca="false">IFERROR(IF(INDEX('Shopping List'!$G$5:$G$316,MATCH($A54,'Shopping List'!$O$5:$O$316,0))="","",INDEX('Shopping List'!$G$5:$G$316,MATCH($A54,'Shopping List'!$O$5:$O$316,0))),"")</f>
        <v/>
      </c>
      <c r="F54" s="46" t="str">
        <f aca="false">IFERROR(IF(INDEX('Shopping List'!$H$5:$H$316,MATCH($A54,'Shopping List'!$O$5:$O$316,0))="","",INDEX('Shopping List'!$H$5:$H$316,MATCH($A54,'Shopping List'!$O$5:$O$316,0))),"")</f>
        <v/>
      </c>
      <c r="G54" s="54" t="str">
        <f aca="false">IFERROR(IF(INDEX('Shopping List'!$I$5:$I$316,MATCH($A54,'Shopping List'!$O$5:$O$316,0))="","",INDEX('Shopping List'!$I$5:$I$316,MATCH($A54,'Shopping List'!$O$5:$O$316,0))),"")</f>
        <v/>
      </c>
      <c r="H54" s="46" t="str">
        <f aca="false">IFERROR(IF(INDEX('Shopping List'!$L$5:$L$316,MATCH($A54,'Shopping List'!$O$5:$O$316,0))="","",INDEX('Shopping List'!$L$5:$L$316,MATCH($A54,'Shopping List'!$O$5:$O$316,0))),"")</f>
        <v/>
      </c>
      <c r="I54" s="46" t="str">
        <f aca="false">IFERROR(IF(INDEX('Shopping List'!$M$5:$M$316,MATCH($A54,'Shopping List'!$O$5:$O$316,0))="","",INDEX('Shopping List'!$M$5:$M$316,MATCH($A54,'Shopping List'!$O$5:$O$316,0))),"")</f>
        <v/>
      </c>
      <c r="J54" s="53" t="str">
        <f aca="false">IFERROR(IF(INDEX('Shopping List'!$N$5:$N$316,MATCH($A54,'Shopping List'!$O$5:$O$316,0))="","",INDEX('Shopping List'!$N$5:$N$316,MATCH($A54,'Shopping List'!$O$5:$O$316,0))),"")</f>
        <v/>
      </c>
    </row>
    <row r="55" customFormat="false" ht="15" hidden="false" customHeight="false" outlineLevel="0" collapsed="false">
      <c r="A55" s="52" t="n">
        <v>48</v>
      </c>
      <c r="B55" s="53" t="str">
        <f aca="false">IFERROR(IF(INDEX('Shopping List'!$D$5:$D$316,MATCH($A55,'Shopping List'!$O$5:$O$316,0))="","",INDEX('Shopping List'!$D$5:$D$316,MATCH($A55,'Shopping List'!$O$5:$O$316,0))),"")</f>
        <v/>
      </c>
      <c r="C55" s="53" t="str">
        <f aca="false">IFERROR(IF(INDEX('Shopping List'!$E$5:$E$316,MATCH($A55,'Shopping List'!$O$5:$O$316,0))="","",INDEX('Shopping List'!$E$5:$E$316,MATCH($A55,'Shopping List'!$O$5:$O$316,0))),"")</f>
        <v/>
      </c>
      <c r="D55" s="53" t="str">
        <f aca="false">IFERROR(IF(INDEX('Shopping List'!$F$5:$F$316,MATCH($A55,'Shopping List'!$O$5:$O$316,0))="","",INDEX('Shopping List'!$F$5:$F$316,MATCH($A55,'Shopping List'!$O$5:$O$316,0))),"")</f>
        <v/>
      </c>
      <c r="E55" s="46" t="str">
        <f aca="false">IFERROR(IF(INDEX('Shopping List'!$G$5:$G$316,MATCH($A55,'Shopping List'!$O$5:$O$316,0))="","",INDEX('Shopping List'!$G$5:$G$316,MATCH($A55,'Shopping List'!$O$5:$O$316,0))),"")</f>
        <v/>
      </c>
      <c r="F55" s="46" t="str">
        <f aca="false">IFERROR(IF(INDEX('Shopping List'!$H$5:$H$316,MATCH($A55,'Shopping List'!$O$5:$O$316,0))="","",INDEX('Shopping List'!$H$5:$H$316,MATCH($A55,'Shopping List'!$O$5:$O$316,0))),"")</f>
        <v/>
      </c>
      <c r="G55" s="54" t="str">
        <f aca="false">IFERROR(IF(INDEX('Shopping List'!$I$5:$I$316,MATCH($A55,'Shopping List'!$O$5:$O$316,0))="","",INDEX('Shopping List'!$I$5:$I$316,MATCH($A55,'Shopping List'!$O$5:$O$316,0))),"")</f>
        <v/>
      </c>
      <c r="H55" s="46" t="str">
        <f aca="false">IFERROR(IF(INDEX('Shopping List'!$L$5:$L$316,MATCH($A55,'Shopping List'!$O$5:$O$316,0))="","",INDEX('Shopping List'!$L$5:$L$316,MATCH($A55,'Shopping List'!$O$5:$O$316,0))),"")</f>
        <v/>
      </c>
      <c r="I55" s="46" t="str">
        <f aca="false">IFERROR(IF(INDEX('Shopping List'!$M$5:$M$316,MATCH($A55,'Shopping List'!$O$5:$O$316,0))="","",INDEX('Shopping List'!$M$5:$M$316,MATCH($A55,'Shopping List'!$O$5:$O$316,0))),"")</f>
        <v/>
      </c>
      <c r="J55" s="53" t="str">
        <f aca="false">IFERROR(IF(INDEX('Shopping List'!$N$5:$N$316,MATCH($A55,'Shopping List'!$O$5:$O$316,0))="","",INDEX('Shopping List'!$N$5:$N$316,MATCH($A55,'Shopping List'!$O$5:$O$316,0))),"")</f>
        <v/>
      </c>
    </row>
    <row r="56" customFormat="false" ht="15" hidden="false" customHeight="false" outlineLevel="0" collapsed="false">
      <c r="A56" s="52" t="n">
        <v>49</v>
      </c>
      <c r="B56" s="53" t="str">
        <f aca="false">IFERROR(IF(INDEX('Shopping List'!$D$5:$D$316,MATCH($A56,'Shopping List'!$O$5:$O$316,0))="","",INDEX('Shopping List'!$D$5:$D$316,MATCH($A56,'Shopping List'!$O$5:$O$316,0))),"")</f>
        <v/>
      </c>
      <c r="C56" s="53" t="str">
        <f aca="false">IFERROR(IF(INDEX('Shopping List'!$E$5:$E$316,MATCH($A56,'Shopping List'!$O$5:$O$316,0))="","",INDEX('Shopping List'!$E$5:$E$316,MATCH($A56,'Shopping List'!$O$5:$O$316,0))),"")</f>
        <v/>
      </c>
      <c r="D56" s="53" t="str">
        <f aca="false">IFERROR(IF(INDEX('Shopping List'!$F$5:$F$316,MATCH($A56,'Shopping List'!$O$5:$O$316,0))="","",INDEX('Shopping List'!$F$5:$F$316,MATCH($A56,'Shopping List'!$O$5:$O$316,0))),"")</f>
        <v/>
      </c>
      <c r="E56" s="46" t="str">
        <f aca="false">IFERROR(IF(INDEX('Shopping List'!$G$5:$G$316,MATCH($A56,'Shopping List'!$O$5:$O$316,0))="","",INDEX('Shopping List'!$G$5:$G$316,MATCH($A56,'Shopping List'!$O$5:$O$316,0))),"")</f>
        <v/>
      </c>
      <c r="F56" s="46" t="str">
        <f aca="false">IFERROR(IF(INDEX('Shopping List'!$H$5:$H$316,MATCH($A56,'Shopping List'!$O$5:$O$316,0))="","",INDEX('Shopping List'!$H$5:$H$316,MATCH($A56,'Shopping List'!$O$5:$O$316,0))),"")</f>
        <v/>
      </c>
      <c r="G56" s="54" t="str">
        <f aca="false">IFERROR(IF(INDEX('Shopping List'!$I$5:$I$316,MATCH($A56,'Shopping List'!$O$5:$O$316,0))="","",INDEX('Shopping List'!$I$5:$I$316,MATCH($A56,'Shopping List'!$O$5:$O$316,0))),"")</f>
        <v/>
      </c>
      <c r="H56" s="46" t="str">
        <f aca="false">IFERROR(IF(INDEX('Shopping List'!$L$5:$L$316,MATCH($A56,'Shopping List'!$O$5:$O$316,0))="","",INDEX('Shopping List'!$L$5:$L$316,MATCH($A56,'Shopping List'!$O$5:$O$316,0))),"")</f>
        <v/>
      </c>
      <c r="I56" s="46" t="str">
        <f aca="false">IFERROR(IF(INDEX('Shopping List'!$M$5:$M$316,MATCH($A56,'Shopping List'!$O$5:$O$316,0))="","",INDEX('Shopping List'!$M$5:$M$316,MATCH($A56,'Shopping List'!$O$5:$O$316,0))),"")</f>
        <v/>
      </c>
      <c r="J56" s="53" t="str">
        <f aca="false">IFERROR(IF(INDEX('Shopping List'!$N$5:$N$316,MATCH($A56,'Shopping List'!$O$5:$O$316,0))="","",INDEX('Shopping List'!$N$5:$N$316,MATCH($A56,'Shopping List'!$O$5:$O$316,0))),"")</f>
        <v/>
      </c>
    </row>
    <row r="57" customFormat="false" ht="15" hidden="false" customHeight="false" outlineLevel="0" collapsed="false">
      <c r="A57" s="52" t="n">
        <v>50</v>
      </c>
      <c r="B57" s="53" t="str">
        <f aca="false">IFERROR(IF(INDEX('Shopping List'!$D$5:$D$316,MATCH($A57,'Shopping List'!$O$5:$O$316,0))="","",INDEX('Shopping List'!$D$5:$D$316,MATCH($A57,'Shopping List'!$O$5:$O$316,0))),"")</f>
        <v/>
      </c>
      <c r="C57" s="53" t="str">
        <f aca="false">IFERROR(IF(INDEX('Shopping List'!$E$5:$E$316,MATCH($A57,'Shopping List'!$O$5:$O$316,0))="","",INDEX('Shopping List'!$E$5:$E$316,MATCH($A57,'Shopping List'!$O$5:$O$316,0))),"")</f>
        <v/>
      </c>
      <c r="D57" s="53" t="str">
        <f aca="false">IFERROR(IF(INDEX('Shopping List'!$F$5:$F$316,MATCH($A57,'Shopping List'!$O$5:$O$316,0))="","",INDEX('Shopping List'!$F$5:$F$316,MATCH($A57,'Shopping List'!$O$5:$O$316,0))),"")</f>
        <v/>
      </c>
      <c r="E57" s="46" t="str">
        <f aca="false">IFERROR(IF(INDEX('Shopping List'!$G$5:$G$316,MATCH($A57,'Shopping List'!$O$5:$O$316,0))="","",INDEX('Shopping List'!$G$5:$G$316,MATCH($A57,'Shopping List'!$O$5:$O$316,0))),"")</f>
        <v/>
      </c>
      <c r="F57" s="46" t="str">
        <f aca="false">IFERROR(IF(INDEX('Shopping List'!$H$5:$H$316,MATCH($A57,'Shopping List'!$O$5:$O$316,0))="","",INDEX('Shopping List'!$H$5:$H$316,MATCH($A57,'Shopping List'!$O$5:$O$316,0))),"")</f>
        <v/>
      </c>
      <c r="G57" s="54" t="str">
        <f aca="false">IFERROR(IF(INDEX('Shopping List'!$I$5:$I$316,MATCH($A57,'Shopping List'!$O$5:$O$316,0))="","",INDEX('Shopping List'!$I$5:$I$316,MATCH($A57,'Shopping List'!$O$5:$O$316,0))),"")</f>
        <v/>
      </c>
      <c r="H57" s="46" t="str">
        <f aca="false">IFERROR(IF(INDEX('Shopping List'!$L$5:$L$316,MATCH($A57,'Shopping List'!$O$5:$O$316,0))="","",INDEX('Shopping List'!$L$5:$L$316,MATCH($A57,'Shopping List'!$O$5:$O$316,0))),"")</f>
        <v/>
      </c>
      <c r="I57" s="46" t="str">
        <f aca="false">IFERROR(IF(INDEX('Shopping List'!$M$5:$M$316,MATCH($A57,'Shopping List'!$O$5:$O$316,0))="","",INDEX('Shopping List'!$M$5:$M$316,MATCH($A57,'Shopping List'!$O$5:$O$316,0))),"")</f>
        <v/>
      </c>
      <c r="J57" s="53" t="str">
        <f aca="false">IFERROR(IF(INDEX('Shopping List'!$N$5:$N$316,MATCH($A57,'Shopping List'!$O$5:$O$316,0))="","",INDEX('Shopping List'!$N$5:$N$316,MATCH($A57,'Shopping List'!$O$5:$O$316,0))),"")</f>
        <v/>
      </c>
    </row>
    <row r="58" customFormat="false" ht="15" hidden="false" customHeight="false" outlineLevel="0" collapsed="false">
      <c r="A58" s="52" t="n">
        <v>51</v>
      </c>
      <c r="B58" s="53" t="str">
        <f aca="false">IFERROR(IF(INDEX('Shopping List'!$D$5:$D$316,MATCH($A58,'Shopping List'!$O$5:$O$316,0))="","",INDEX('Shopping List'!$D$5:$D$316,MATCH($A58,'Shopping List'!$O$5:$O$316,0))),"")</f>
        <v/>
      </c>
      <c r="C58" s="53" t="str">
        <f aca="false">IFERROR(IF(INDEX('Shopping List'!$E$5:$E$316,MATCH($A58,'Shopping List'!$O$5:$O$316,0))="","",INDEX('Shopping List'!$E$5:$E$316,MATCH($A58,'Shopping List'!$O$5:$O$316,0))),"")</f>
        <v/>
      </c>
      <c r="D58" s="53" t="str">
        <f aca="false">IFERROR(IF(INDEX('Shopping List'!$F$5:$F$316,MATCH($A58,'Shopping List'!$O$5:$O$316,0))="","",INDEX('Shopping List'!$F$5:$F$316,MATCH($A58,'Shopping List'!$O$5:$O$316,0))),"")</f>
        <v/>
      </c>
      <c r="E58" s="46" t="str">
        <f aca="false">IFERROR(IF(INDEX('Shopping List'!$G$5:$G$316,MATCH($A58,'Shopping List'!$O$5:$O$316,0))="","",INDEX('Shopping List'!$G$5:$G$316,MATCH($A58,'Shopping List'!$O$5:$O$316,0))),"")</f>
        <v/>
      </c>
      <c r="F58" s="46" t="str">
        <f aca="false">IFERROR(IF(INDEX('Shopping List'!$H$5:$H$316,MATCH($A58,'Shopping List'!$O$5:$O$316,0))="","",INDEX('Shopping List'!$H$5:$H$316,MATCH($A58,'Shopping List'!$O$5:$O$316,0))),"")</f>
        <v/>
      </c>
      <c r="G58" s="54" t="str">
        <f aca="false">IFERROR(IF(INDEX('Shopping List'!$I$5:$I$316,MATCH($A58,'Shopping List'!$O$5:$O$316,0))="","",INDEX('Shopping List'!$I$5:$I$316,MATCH($A58,'Shopping List'!$O$5:$O$316,0))),"")</f>
        <v/>
      </c>
      <c r="H58" s="46" t="str">
        <f aca="false">IFERROR(IF(INDEX('Shopping List'!$L$5:$L$316,MATCH($A58,'Shopping List'!$O$5:$O$316,0))="","",INDEX('Shopping List'!$L$5:$L$316,MATCH($A58,'Shopping List'!$O$5:$O$316,0))),"")</f>
        <v/>
      </c>
      <c r="I58" s="46" t="str">
        <f aca="false">IFERROR(IF(INDEX('Shopping List'!$M$5:$M$316,MATCH($A58,'Shopping List'!$O$5:$O$316,0))="","",INDEX('Shopping List'!$M$5:$M$316,MATCH($A58,'Shopping List'!$O$5:$O$316,0))),"")</f>
        <v/>
      </c>
      <c r="J58" s="53" t="str">
        <f aca="false">IFERROR(IF(INDEX('Shopping List'!$N$5:$N$316,MATCH($A58,'Shopping List'!$O$5:$O$316,0))="","",INDEX('Shopping List'!$N$5:$N$316,MATCH($A58,'Shopping List'!$O$5:$O$316,0))),"")</f>
        <v/>
      </c>
    </row>
    <row r="59" customFormat="false" ht="15" hidden="false" customHeight="false" outlineLevel="0" collapsed="false">
      <c r="A59" s="52" t="n">
        <v>52</v>
      </c>
      <c r="B59" s="53" t="str">
        <f aca="false">IFERROR(IF(INDEX('Shopping List'!$D$5:$D$316,MATCH($A59,'Shopping List'!$O$5:$O$316,0))="","",INDEX('Shopping List'!$D$5:$D$316,MATCH($A59,'Shopping List'!$O$5:$O$316,0))),"")</f>
        <v/>
      </c>
      <c r="C59" s="53" t="str">
        <f aca="false">IFERROR(IF(INDEX('Shopping List'!$E$5:$E$316,MATCH($A59,'Shopping List'!$O$5:$O$316,0))="","",INDEX('Shopping List'!$E$5:$E$316,MATCH($A59,'Shopping List'!$O$5:$O$316,0))),"")</f>
        <v/>
      </c>
      <c r="D59" s="53" t="str">
        <f aca="false">IFERROR(IF(INDEX('Shopping List'!$F$5:$F$316,MATCH($A59,'Shopping List'!$O$5:$O$316,0))="","",INDEX('Shopping List'!$F$5:$F$316,MATCH($A59,'Shopping List'!$O$5:$O$316,0))),"")</f>
        <v/>
      </c>
      <c r="E59" s="46" t="str">
        <f aca="false">IFERROR(IF(INDEX('Shopping List'!$G$5:$G$316,MATCH($A59,'Shopping List'!$O$5:$O$316,0))="","",INDEX('Shopping List'!$G$5:$G$316,MATCH($A59,'Shopping List'!$O$5:$O$316,0))),"")</f>
        <v/>
      </c>
      <c r="F59" s="46" t="str">
        <f aca="false">IFERROR(IF(INDEX('Shopping List'!$H$5:$H$316,MATCH($A59,'Shopping List'!$O$5:$O$316,0))="","",INDEX('Shopping List'!$H$5:$H$316,MATCH($A59,'Shopping List'!$O$5:$O$316,0))),"")</f>
        <v/>
      </c>
      <c r="G59" s="54" t="str">
        <f aca="false">IFERROR(IF(INDEX('Shopping List'!$I$5:$I$316,MATCH($A59,'Shopping List'!$O$5:$O$316,0))="","",INDEX('Shopping List'!$I$5:$I$316,MATCH($A59,'Shopping List'!$O$5:$O$316,0))),"")</f>
        <v/>
      </c>
      <c r="H59" s="46" t="str">
        <f aca="false">IFERROR(IF(INDEX('Shopping List'!$L$5:$L$316,MATCH($A59,'Shopping List'!$O$5:$O$316,0))="","",INDEX('Shopping List'!$L$5:$L$316,MATCH($A59,'Shopping List'!$O$5:$O$316,0))),"")</f>
        <v/>
      </c>
      <c r="I59" s="46" t="str">
        <f aca="false">IFERROR(IF(INDEX('Shopping List'!$M$5:$M$316,MATCH($A59,'Shopping List'!$O$5:$O$316,0))="","",INDEX('Shopping List'!$M$5:$M$316,MATCH($A59,'Shopping List'!$O$5:$O$316,0))),"")</f>
        <v/>
      </c>
      <c r="J59" s="53" t="str">
        <f aca="false">IFERROR(IF(INDEX('Shopping List'!$N$5:$N$316,MATCH($A59,'Shopping List'!$O$5:$O$316,0))="","",INDEX('Shopping List'!$N$5:$N$316,MATCH($A59,'Shopping List'!$O$5:$O$316,0))),"")</f>
        <v/>
      </c>
    </row>
    <row r="60" customFormat="false" ht="15" hidden="false" customHeight="false" outlineLevel="0" collapsed="false">
      <c r="A60" s="52" t="n">
        <v>53</v>
      </c>
      <c r="B60" s="53" t="str">
        <f aca="false">IFERROR(IF(INDEX('Shopping List'!$D$5:$D$316,MATCH($A60,'Shopping List'!$O$5:$O$316,0))="","",INDEX('Shopping List'!$D$5:$D$316,MATCH($A60,'Shopping List'!$O$5:$O$316,0))),"")</f>
        <v/>
      </c>
      <c r="C60" s="53" t="str">
        <f aca="false">IFERROR(IF(INDEX('Shopping List'!$E$5:$E$316,MATCH($A60,'Shopping List'!$O$5:$O$316,0))="","",INDEX('Shopping List'!$E$5:$E$316,MATCH($A60,'Shopping List'!$O$5:$O$316,0))),"")</f>
        <v/>
      </c>
      <c r="D60" s="53" t="str">
        <f aca="false">IFERROR(IF(INDEX('Shopping List'!$F$5:$F$316,MATCH($A60,'Shopping List'!$O$5:$O$316,0))="","",INDEX('Shopping List'!$F$5:$F$316,MATCH($A60,'Shopping List'!$O$5:$O$316,0))),"")</f>
        <v/>
      </c>
      <c r="E60" s="46" t="str">
        <f aca="false">IFERROR(IF(INDEX('Shopping List'!$G$5:$G$316,MATCH($A60,'Shopping List'!$O$5:$O$316,0))="","",INDEX('Shopping List'!$G$5:$G$316,MATCH($A60,'Shopping List'!$O$5:$O$316,0))),"")</f>
        <v/>
      </c>
      <c r="F60" s="46" t="str">
        <f aca="false">IFERROR(IF(INDEX('Shopping List'!$H$5:$H$316,MATCH($A60,'Shopping List'!$O$5:$O$316,0))="","",INDEX('Shopping List'!$H$5:$H$316,MATCH($A60,'Shopping List'!$O$5:$O$316,0))),"")</f>
        <v/>
      </c>
      <c r="G60" s="54" t="str">
        <f aca="false">IFERROR(IF(INDEX('Shopping List'!$I$5:$I$316,MATCH($A60,'Shopping List'!$O$5:$O$316,0))="","",INDEX('Shopping List'!$I$5:$I$316,MATCH($A60,'Shopping List'!$O$5:$O$316,0))),"")</f>
        <v/>
      </c>
      <c r="H60" s="46" t="str">
        <f aca="false">IFERROR(IF(INDEX('Shopping List'!$L$5:$L$316,MATCH($A60,'Shopping List'!$O$5:$O$316,0))="","",INDEX('Shopping List'!$L$5:$L$316,MATCH($A60,'Shopping List'!$O$5:$O$316,0))),"")</f>
        <v/>
      </c>
      <c r="I60" s="46" t="str">
        <f aca="false">IFERROR(IF(INDEX('Shopping List'!$M$5:$M$316,MATCH($A60,'Shopping List'!$O$5:$O$316,0))="","",INDEX('Shopping List'!$M$5:$M$316,MATCH($A60,'Shopping List'!$O$5:$O$316,0))),"")</f>
        <v/>
      </c>
      <c r="J60" s="53" t="str">
        <f aca="false">IFERROR(IF(INDEX('Shopping List'!$N$5:$N$316,MATCH($A60,'Shopping List'!$O$5:$O$316,0))="","",INDEX('Shopping List'!$N$5:$N$316,MATCH($A60,'Shopping List'!$O$5:$O$316,0))),"")</f>
        <v/>
      </c>
    </row>
    <row r="61" customFormat="false" ht="15" hidden="false" customHeight="false" outlineLevel="0" collapsed="false">
      <c r="A61" s="52" t="n">
        <v>54</v>
      </c>
      <c r="B61" s="53" t="str">
        <f aca="false">IFERROR(IF(INDEX('Shopping List'!$D$5:$D$316,MATCH($A61,'Shopping List'!$O$5:$O$316,0))="","",INDEX('Shopping List'!$D$5:$D$316,MATCH($A61,'Shopping List'!$O$5:$O$316,0))),"")</f>
        <v/>
      </c>
      <c r="C61" s="53" t="str">
        <f aca="false">IFERROR(IF(INDEX('Shopping List'!$E$5:$E$316,MATCH($A61,'Shopping List'!$O$5:$O$316,0))="","",INDEX('Shopping List'!$E$5:$E$316,MATCH($A61,'Shopping List'!$O$5:$O$316,0))),"")</f>
        <v/>
      </c>
      <c r="D61" s="53" t="str">
        <f aca="false">IFERROR(IF(INDEX('Shopping List'!$F$5:$F$316,MATCH($A61,'Shopping List'!$O$5:$O$316,0))="","",INDEX('Shopping List'!$F$5:$F$316,MATCH($A61,'Shopping List'!$O$5:$O$316,0))),"")</f>
        <v/>
      </c>
      <c r="E61" s="46" t="str">
        <f aca="false">IFERROR(IF(INDEX('Shopping List'!$G$5:$G$316,MATCH($A61,'Shopping List'!$O$5:$O$316,0))="","",INDEX('Shopping List'!$G$5:$G$316,MATCH($A61,'Shopping List'!$O$5:$O$316,0))),"")</f>
        <v/>
      </c>
      <c r="F61" s="46" t="str">
        <f aca="false">IFERROR(IF(INDEX('Shopping List'!$H$5:$H$316,MATCH($A61,'Shopping List'!$O$5:$O$316,0))="","",INDEX('Shopping List'!$H$5:$H$316,MATCH($A61,'Shopping List'!$O$5:$O$316,0))),"")</f>
        <v/>
      </c>
      <c r="G61" s="54" t="str">
        <f aca="false">IFERROR(IF(INDEX('Shopping List'!$I$5:$I$316,MATCH($A61,'Shopping List'!$O$5:$O$316,0))="","",INDEX('Shopping List'!$I$5:$I$316,MATCH($A61,'Shopping List'!$O$5:$O$316,0))),"")</f>
        <v/>
      </c>
      <c r="H61" s="46" t="str">
        <f aca="false">IFERROR(IF(INDEX('Shopping List'!$L$5:$L$316,MATCH($A61,'Shopping List'!$O$5:$O$316,0))="","",INDEX('Shopping List'!$L$5:$L$316,MATCH($A61,'Shopping List'!$O$5:$O$316,0))),"")</f>
        <v/>
      </c>
      <c r="I61" s="46" t="str">
        <f aca="false">IFERROR(IF(INDEX('Shopping List'!$M$5:$M$316,MATCH($A61,'Shopping List'!$O$5:$O$316,0))="","",INDEX('Shopping List'!$M$5:$M$316,MATCH($A61,'Shopping List'!$O$5:$O$316,0))),"")</f>
        <v/>
      </c>
      <c r="J61" s="53" t="str">
        <f aca="false">IFERROR(IF(INDEX('Shopping List'!$N$5:$N$316,MATCH($A61,'Shopping List'!$O$5:$O$316,0))="","",INDEX('Shopping List'!$N$5:$N$316,MATCH($A61,'Shopping List'!$O$5:$O$316,0))),"")</f>
        <v/>
      </c>
    </row>
    <row r="62" customFormat="false" ht="15" hidden="false" customHeight="false" outlineLevel="0" collapsed="false">
      <c r="A62" s="52" t="n">
        <v>55</v>
      </c>
      <c r="B62" s="53" t="str">
        <f aca="false">IFERROR(IF(INDEX('Shopping List'!$D$5:$D$316,MATCH($A62,'Shopping List'!$O$5:$O$316,0))="","",INDEX('Shopping List'!$D$5:$D$316,MATCH($A62,'Shopping List'!$O$5:$O$316,0))),"")</f>
        <v/>
      </c>
      <c r="C62" s="53" t="str">
        <f aca="false">IFERROR(IF(INDEX('Shopping List'!$E$5:$E$316,MATCH($A62,'Shopping List'!$O$5:$O$316,0))="","",INDEX('Shopping List'!$E$5:$E$316,MATCH($A62,'Shopping List'!$O$5:$O$316,0))),"")</f>
        <v/>
      </c>
      <c r="D62" s="53" t="str">
        <f aca="false">IFERROR(IF(INDEX('Shopping List'!$F$5:$F$316,MATCH($A62,'Shopping List'!$O$5:$O$316,0))="","",INDEX('Shopping List'!$F$5:$F$316,MATCH($A62,'Shopping List'!$O$5:$O$316,0))),"")</f>
        <v/>
      </c>
      <c r="E62" s="46" t="str">
        <f aca="false">IFERROR(IF(INDEX('Shopping List'!$G$5:$G$316,MATCH($A62,'Shopping List'!$O$5:$O$316,0))="","",INDEX('Shopping List'!$G$5:$G$316,MATCH($A62,'Shopping List'!$O$5:$O$316,0))),"")</f>
        <v/>
      </c>
      <c r="F62" s="46" t="str">
        <f aca="false">IFERROR(IF(INDEX('Shopping List'!$H$5:$H$316,MATCH($A62,'Shopping List'!$O$5:$O$316,0))="","",INDEX('Shopping List'!$H$5:$H$316,MATCH($A62,'Shopping List'!$O$5:$O$316,0))),"")</f>
        <v/>
      </c>
      <c r="G62" s="54" t="str">
        <f aca="false">IFERROR(IF(INDEX('Shopping List'!$I$5:$I$316,MATCH($A62,'Shopping List'!$O$5:$O$316,0))="","",INDEX('Shopping List'!$I$5:$I$316,MATCH($A62,'Shopping List'!$O$5:$O$316,0))),"")</f>
        <v/>
      </c>
      <c r="H62" s="46" t="str">
        <f aca="false">IFERROR(IF(INDEX('Shopping List'!$L$5:$L$316,MATCH($A62,'Shopping List'!$O$5:$O$316,0))="","",INDEX('Shopping List'!$L$5:$L$316,MATCH($A62,'Shopping List'!$O$5:$O$316,0))),"")</f>
        <v/>
      </c>
      <c r="I62" s="46" t="str">
        <f aca="false">IFERROR(IF(INDEX('Shopping List'!$M$5:$M$316,MATCH($A62,'Shopping List'!$O$5:$O$316,0))="","",INDEX('Shopping List'!$M$5:$M$316,MATCH($A62,'Shopping List'!$O$5:$O$316,0))),"")</f>
        <v/>
      </c>
      <c r="J62" s="53" t="str">
        <f aca="false">IFERROR(IF(INDEX('Shopping List'!$N$5:$N$316,MATCH($A62,'Shopping List'!$O$5:$O$316,0))="","",INDEX('Shopping List'!$N$5:$N$316,MATCH($A62,'Shopping List'!$O$5:$O$316,0))),"")</f>
        <v/>
      </c>
    </row>
    <row r="63" customFormat="false" ht="15" hidden="false" customHeight="false" outlineLevel="0" collapsed="false">
      <c r="A63" s="52" t="n">
        <v>56</v>
      </c>
      <c r="B63" s="53" t="str">
        <f aca="false">IFERROR(IF(INDEX('Shopping List'!$D$5:$D$316,MATCH($A63,'Shopping List'!$O$5:$O$316,0))="","",INDEX('Shopping List'!$D$5:$D$316,MATCH($A63,'Shopping List'!$O$5:$O$316,0))),"")</f>
        <v/>
      </c>
      <c r="C63" s="53" t="str">
        <f aca="false">IFERROR(IF(INDEX('Shopping List'!$E$5:$E$316,MATCH($A63,'Shopping List'!$O$5:$O$316,0))="","",INDEX('Shopping List'!$E$5:$E$316,MATCH($A63,'Shopping List'!$O$5:$O$316,0))),"")</f>
        <v/>
      </c>
      <c r="D63" s="53" t="str">
        <f aca="false">IFERROR(IF(INDEX('Shopping List'!$F$5:$F$316,MATCH($A63,'Shopping List'!$O$5:$O$316,0))="","",INDEX('Shopping List'!$F$5:$F$316,MATCH($A63,'Shopping List'!$O$5:$O$316,0))),"")</f>
        <v/>
      </c>
      <c r="E63" s="46" t="str">
        <f aca="false">IFERROR(IF(INDEX('Shopping List'!$G$5:$G$316,MATCH($A63,'Shopping List'!$O$5:$O$316,0))="","",INDEX('Shopping List'!$G$5:$G$316,MATCH($A63,'Shopping List'!$O$5:$O$316,0))),"")</f>
        <v/>
      </c>
      <c r="F63" s="46" t="str">
        <f aca="false">IFERROR(IF(INDEX('Shopping List'!$H$5:$H$316,MATCH($A63,'Shopping List'!$O$5:$O$316,0))="","",INDEX('Shopping List'!$H$5:$H$316,MATCH($A63,'Shopping List'!$O$5:$O$316,0))),"")</f>
        <v/>
      </c>
      <c r="G63" s="54" t="str">
        <f aca="false">IFERROR(IF(INDEX('Shopping List'!$I$5:$I$316,MATCH($A63,'Shopping List'!$O$5:$O$316,0))="","",INDEX('Shopping List'!$I$5:$I$316,MATCH($A63,'Shopping List'!$O$5:$O$316,0))),"")</f>
        <v/>
      </c>
      <c r="H63" s="46" t="str">
        <f aca="false">IFERROR(IF(INDEX('Shopping List'!$L$5:$L$316,MATCH($A63,'Shopping List'!$O$5:$O$316,0))="","",INDEX('Shopping List'!$L$5:$L$316,MATCH($A63,'Shopping List'!$O$5:$O$316,0))),"")</f>
        <v/>
      </c>
      <c r="I63" s="46" t="str">
        <f aca="false">IFERROR(IF(INDEX('Shopping List'!$M$5:$M$316,MATCH($A63,'Shopping List'!$O$5:$O$316,0))="","",INDEX('Shopping List'!$M$5:$M$316,MATCH($A63,'Shopping List'!$O$5:$O$316,0))),"")</f>
        <v/>
      </c>
      <c r="J63" s="53" t="str">
        <f aca="false">IFERROR(IF(INDEX('Shopping List'!$N$5:$N$316,MATCH($A63,'Shopping List'!$O$5:$O$316,0))="","",INDEX('Shopping List'!$N$5:$N$316,MATCH($A63,'Shopping List'!$O$5:$O$316,0))),"")</f>
        <v/>
      </c>
    </row>
    <row r="64" customFormat="false" ht="15" hidden="false" customHeight="false" outlineLevel="0" collapsed="false">
      <c r="A64" s="52" t="n">
        <v>57</v>
      </c>
      <c r="B64" s="53" t="str">
        <f aca="false">IFERROR(IF(INDEX('Shopping List'!$D$5:$D$316,MATCH($A64,'Shopping List'!$O$5:$O$316,0))="","",INDEX('Shopping List'!$D$5:$D$316,MATCH($A64,'Shopping List'!$O$5:$O$316,0))),"")</f>
        <v/>
      </c>
      <c r="C64" s="53" t="str">
        <f aca="false">IFERROR(IF(INDEX('Shopping List'!$E$5:$E$316,MATCH($A64,'Shopping List'!$O$5:$O$316,0))="","",INDEX('Shopping List'!$E$5:$E$316,MATCH($A64,'Shopping List'!$O$5:$O$316,0))),"")</f>
        <v/>
      </c>
      <c r="D64" s="53" t="str">
        <f aca="false">IFERROR(IF(INDEX('Shopping List'!$F$5:$F$316,MATCH($A64,'Shopping List'!$O$5:$O$316,0))="","",INDEX('Shopping List'!$F$5:$F$316,MATCH($A64,'Shopping List'!$O$5:$O$316,0))),"")</f>
        <v/>
      </c>
      <c r="E64" s="46" t="str">
        <f aca="false">IFERROR(IF(INDEX('Shopping List'!$G$5:$G$316,MATCH($A64,'Shopping List'!$O$5:$O$316,0))="","",INDEX('Shopping List'!$G$5:$G$316,MATCH($A64,'Shopping List'!$O$5:$O$316,0))),"")</f>
        <v/>
      </c>
      <c r="F64" s="46" t="str">
        <f aca="false">IFERROR(IF(INDEX('Shopping List'!$H$5:$H$316,MATCH($A64,'Shopping List'!$O$5:$O$316,0))="","",INDEX('Shopping List'!$H$5:$H$316,MATCH($A64,'Shopping List'!$O$5:$O$316,0))),"")</f>
        <v/>
      </c>
      <c r="G64" s="54" t="str">
        <f aca="false">IFERROR(IF(INDEX('Shopping List'!$I$5:$I$316,MATCH($A64,'Shopping List'!$O$5:$O$316,0))="","",INDEX('Shopping List'!$I$5:$I$316,MATCH($A64,'Shopping List'!$O$5:$O$316,0))),"")</f>
        <v/>
      </c>
      <c r="H64" s="46" t="str">
        <f aca="false">IFERROR(IF(INDEX('Shopping List'!$L$5:$L$316,MATCH($A64,'Shopping List'!$O$5:$O$316,0))="","",INDEX('Shopping List'!$L$5:$L$316,MATCH($A64,'Shopping List'!$O$5:$O$316,0))),"")</f>
        <v/>
      </c>
      <c r="I64" s="46" t="str">
        <f aca="false">IFERROR(IF(INDEX('Shopping List'!$M$5:$M$316,MATCH($A64,'Shopping List'!$O$5:$O$316,0))="","",INDEX('Shopping List'!$M$5:$M$316,MATCH($A64,'Shopping List'!$O$5:$O$316,0))),"")</f>
        <v/>
      </c>
      <c r="J64" s="53" t="str">
        <f aca="false">IFERROR(IF(INDEX('Shopping List'!$N$5:$N$316,MATCH($A64,'Shopping List'!$O$5:$O$316,0))="","",INDEX('Shopping List'!$N$5:$N$316,MATCH($A64,'Shopping List'!$O$5:$O$316,0))),"")</f>
        <v/>
      </c>
    </row>
    <row r="65" customFormat="false" ht="15" hidden="false" customHeight="false" outlineLevel="0" collapsed="false">
      <c r="A65" s="52" t="n">
        <v>58</v>
      </c>
      <c r="B65" s="53" t="str">
        <f aca="false">IFERROR(IF(INDEX('Shopping List'!$D$5:$D$316,MATCH($A65,'Shopping List'!$O$5:$O$316,0))="","",INDEX('Shopping List'!$D$5:$D$316,MATCH($A65,'Shopping List'!$O$5:$O$316,0))),"")</f>
        <v/>
      </c>
      <c r="C65" s="53" t="str">
        <f aca="false">IFERROR(IF(INDEX('Shopping List'!$E$5:$E$316,MATCH($A65,'Shopping List'!$O$5:$O$316,0))="","",INDEX('Shopping List'!$E$5:$E$316,MATCH($A65,'Shopping List'!$O$5:$O$316,0))),"")</f>
        <v/>
      </c>
      <c r="D65" s="53" t="str">
        <f aca="false">IFERROR(IF(INDEX('Shopping List'!$F$5:$F$316,MATCH($A65,'Shopping List'!$O$5:$O$316,0))="","",INDEX('Shopping List'!$F$5:$F$316,MATCH($A65,'Shopping List'!$O$5:$O$316,0))),"")</f>
        <v/>
      </c>
      <c r="E65" s="46" t="str">
        <f aca="false">IFERROR(IF(INDEX('Shopping List'!$G$5:$G$316,MATCH($A65,'Shopping List'!$O$5:$O$316,0))="","",INDEX('Shopping List'!$G$5:$G$316,MATCH($A65,'Shopping List'!$O$5:$O$316,0))),"")</f>
        <v/>
      </c>
      <c r="F65" s="46" t="str">
        <f aca="false">IFERROR(IF(INDEX('Shopping List'!$H$5:$H$316,MATCH($A65,'Shopping List'!$O$5:$O$316,0))="","",INDEX('Shopping List'!$H$5:$H$316,MATCH($A65,'Shopping List'!$O$5:$O$316,0))),"")</f>
        <v/>
      </c>
      <c r="G65" s="54" t="str">
        <f aca="false">IFERROR(IF(INDEX('Shopping List'!$I$5:$I$316,MATCH($A65,'Shopping List'!$O$5:$O$316,0))="","",INDEX('Shopping List'!$I$5:$I$316,MATCH($A65,'Shopping List'!$O$5:$O$316,0))),"")</f>
        <v/>
      </c>
      <c r="H65" s="46" t="str">
        <f aca="false">IFERROR(IF(INDEX('Shopping List'!$L$5:$L$316,MATCH($A65,'Shopping List'!$O$5:$O$316,0))="","",INDEX('Shopping List'!$L$5:$L$316,MATCH($A65,'Shopping List'!$O$5:$O$316,0))),"")</f>
        <v/>
      </c>
      <c r="I65" s="46" t="str">
        <f aca="false">IFERROR(IF(INDEX('Shopping List'!$M$5:$M$316,MATCH($A65,'Shopping List'!$O$5:$O$316,0))="","",INDEX('Shopping List'!$M$5:$M$316,MATCH($A65,'Shopping List'!$O$5:$O$316,0))),"")</f>
        <v/>
      </c>
      <c r="J65" s="53" t="str">
        <f aca="false">IFERROR(IF(INDEX('Shopping List'!$N$5:$N$316,MATCH($A65,'Shopping List'!$O$5:$O$316,0))="","",INDEX('Shopping List'!$N$5:$N$316,MATCH($A65,'Shopping List'!$O$5:$O$316,0))),"")</f>
        <v/>
      </c>
    </row>
    <row r="66" customFormat="false" ht="15" hidden="false" customHeight="false" outlineLevel="0" collapsed="false">
      <c r="A66" s="52" t="n">
        <v>59</v>
      </c>
      <c r="B66" s="53" t="str">
        <f aca="false">IFERROR(IF(INDEX('Shopping List'!$D$5:$D$316,MATCH($A66,'Shopping List'!$O$5:$O$316,0))="","",INDEX('Shopping List'!$D$5:$D$316,MATCH($A66,'Shopping List'!$O$5:$O$316,0))),"")</f>
        <v/>
      </c>
      <c r="C66" s="53" t="str">
        <f aca="false">IFERROR(IF(INDEX('Shopping List'!$E$5:$E$316,MATCH($A66,'Shopping List'!$O$5:$O$316,0))="","",INDEX('Shopping List'!$E$5:$E$316,MATCH($A66,'Shopping List'!$O$5:$O$316,0))),"")</f>
        <v/>
      </c>
      <c r="D66" s="53" t="str">
        <f aca="false">IFERROR(IF(INDEX('Shopping List'!$F$5:$F$316,MATCH($A66,'Shopping List'!$O$5:$O$316,0))="","",INDEX('Shopping List'!$F$5:$F$316,MATCH($A66,'Shopping List'!$O$5:$O$316,0))),"")</f>
        <v/>
      </c>
      <c r="E66" s="46" t="str">
        <f aca="false">IFERROR(IF(INDEX('Shopping List'!$G$5:$G$316,MATCH($A66,'Shopping List'!$O$5:$O$316,0))="","",INDEX('Shopping List'!$G$5:$G$316,MATCH($A66,'Shopping List'!$O$5:$O$316,0))),"")</f>
        <v/>
      </c>
      <c r="F66" s="46" t="str">
        <f aca="false">IFERROR(IF(INDEX('Shopping List'!$H$5:$H$316,MATCH($A66,'Shopping List'!$O$5:$O$316,0))="","",INDEX('Shopping List'!$H$5:$H$316,MATCH($A66,'Shopping List'!$O$5:$O$316,0))),"")</f>
        <v/>
      </c>
      <c r="G66" s="54" t="str">
        <f aca="false">IFERROR(IF(INDEX('Shopping List'!$I$5:$I$316,MATCH($A66,'Shopping List'!$O$5:$O$316,0))="","",INDEX('Shopping List'!$I$5:$I$316,MATCH($A66,'Shopping List'!$O$5:$O$316,0))),"")</f>
        <v/>
      </c>
      <c r="H66" s="46" t="str">
        <f aca="false">IFERROR(IF(INDEX('Shopping List'!$L$5:$L$316,MATCH($A66,'Shopping List'!$O$5:$O$316,0))="","",INDEX('Shopping List'!$L$5:$L$316,MATCH($A66,'Shopping List'!$O$5:$O$316,0))),"")</f>
        <v/>
      </c>
      <c r="I66" s="46" t="str">
        <f aca="false">IFERROR(IF(INDEX('Shopping List'!$M$5:$M$316,MATCH($A66,'Shopping List'!$O$5:$O$316,0))="","",INDEX('Shopping List'!$M$5:$M$316,MATCH($A66,'Shopping List'!$O$5:$O$316,0))),"")</f>
        <v/>
      </c>
      <c r="J66" s="53" t="str">
        <f aca="false">IFERROR(IF(INDEX('Shopping List'!$N$5:$N$316,MATCH($A66,'Shopping List'!$O$5:$O$316,0))="","",INDEX('Shopping List'!$N$5:$N$316,MATCH($A66,'Shopping List'!$O$5:$O$316,0))),"")</f>
        <v/>
      </c>
    </row>
    <row r="67" customFormat="false" ht="15" hidden="false" customHeight="false" outlineLevel="0" collapsed="false">
      <c r="A67" s="52" t="n">
        <v>60</v>
      </c>
      <c r="B67" s="53" t="str">
        <f aca="false">IFERROR(IF(INDEX('Shopping List'!$D$5:$D$316,MATCH($A67,'Shopping List'!$O$5:$O$316,0))="","",INDEX('Shopping List'!$D$5:$D$316,MATCH($A67,'Shopping List'!$O$5:$O$316,0))),"")</f>
        <v/>
      </c>
      <c r="C67" s="53" t="str">
        <f aca="false">IFERROR(IF(INDEX('Shopping List'!$E$5:$E$316,MATCH($A67,'Shopping List'!$O$5:$O$316,0))="","",INDEX('Shopping List'!$E$5:$E$316,MATCH($A67,'Shopping List'!$O$5:$O$316,0))),"")</f>
        <v/>
      </c>
      <c r="D67" s="53" t="str">
        <f aca="false">IFERROR(IF(INDEX('Shopping List'!$F$5:$F$316,MATCH($A67,'Shopping List'!$O$5:$O$316,0))="","",INDEX('Shopping List'!$F$5:$F$316,MATCH($A67,'Shopping List'!$O$5:$O$316,0))),"")</f>
        <v/>
      </c>
      <c r="E67" s="46" t="str">
        <f aca="false">IFERROR(IF(INDEX('Shopping List'!$G$5:$G$316,MATCH($A67,'Shopping List'!$O$5:$O$316,0))="","",INDEX('Shopping List'!$G$5:$G$316,MATCH($A67,'Shopping List'!$O$5:$O$316,0))),"")</f>
        <v/>
      </c>
      <c r="F67" s="46" t="str">
        <f aca="false">IFERROR(IF(INDEX('Shopping List'!$H$5:$H$316,MATCH($A67,'Shopping List'!$O$5:$O$316,0))="","",INDEX('Shopping List'!$H$5:$H$316,MATCH($A67,'Shopping List'!$O$5:$O$316,0))),"")</f>
        <v/>
      </c>
      <c r="G67" s="54" t="str">
        <f aca="false">IFERROR(IF(INDEX('Shopping List'!$I$5:$I$316,MATCH($A67,'Shopping List'!$O$5:$O$316,0))="","",INDEX('Shopping List'!$I$5:$I$316,MATCH($A67,'Shopping List'!$O$5:$O$316,0))),"")</f>
        <v/>
      </c>
      <c r="H67" s="46" t="str">
        <f aca="false">IFERROR(IF(INDEX('Shopping List'!$L$5:$L$316,MATCH($A67,'Shopping List'!$O$5:$O$316,0))="","",INDEX('Shopping List'!$L$5:$L$316,MATCH($A67,'Shopping List'!$O$5:$O$316,0))),"")</f>
        <v/>
      </c>
      <c r="I67" s="46" t="str">
        <f aca="false">IFERROR(IF(INDEX('Shopping List'!$M$5:$M$316,MATCH($A67,'Shopping List'!$O$5:$O$316,0))="","",INDEX('Shopping List'!$M$5:$M$316,MATCH($A67,'Shopping List'!$O$5:$O$316,0))),"")</f>
        <v/>
      </c>
      <c r="J67" s="53" t="str">
        <f aca="false">IFERROR(IF(INDEX('Shopping List'!$N$5:$N$316,MATCH($A67,'Shopping List'!$O$5:$O$316,0))="","",INDEX('Shopping List'!$N$5:$N$316,MATCH($A67,'Shopping List'!$O$5:$O$316,0))),"")</f>
        <v/>
      </c>
    </row>
    <row r="68" customFormat="false" ht="15" hidden="false" customHeight="false" outlineLevel="0" collapsed="false">
      <c r="A68" s="52" t="n">
        <v>61</v>
      </c>
      <c r="B68" s="53" t="str">
        <f aca="false">IFERROR(IF(INDEX('Shopping List'!$D$5:$D$316,MATCH($A68,'Shopping List'!$O$5:$O$316,0))="","",INDEX('Shopping List'!$D$5:$D$316,MATCH($A68,'Shopping List'!$O$5:$O$316,0))),"")</f>
        <v/>
      </c>
      <c r="C68" s="53" t="str">
        <f aca="false">IFERROR(IF(INDEX('Shopping List'!$E$5:$E$316,MATCH($A68,'Shopping List'!$O$5:$O$316,0))="","",INDEX('Shopping List'!$E$5:$E$316,MATCH($A68,'Shopping List'!$O$5:$O$316,0))),"")</f>
        <v/>
      </c>
      <c r="D68" s="53" t="str">
        <f aca="false">IFERROR(IF(INDEX('Shopping List'!$F$5:$F$316,MATCH($A68,'Shopping List'!$O$5:$O$316,0))="","",INDEX('Shopping List'!$F$5:$F$316,MATCH($A68,'Shopping List'!$O$5:$O$316,0))),"")</f>
        <v/>
      </c>
      <c r="E68" s="46" t="str">
        <f aca="false">IFERROR(IF(INDEX('Shopping List'!$G$5:$G$316,MATCH($A68,'Shopping List'!$O$5:$O$316,0))="","",INDEX('Shopping List'!$G$5:$G$316,MATCH($A68,'Shopping List'!$O$5:$O$316,0))),"")</f>
        <v/>
      </c>
      <c r="F68" s="46" t="str">
        <f aca="false">IFERROR(IF(INDEX('Shopping List'!$H$5:$H$316,MATCH($A68,'Shopping List'!$O$5:$O$316,0))="","",INDEX('Shopping List'!$H$5:$H$316,MATCH($A68,'Shopping List'!$O$5:$O$316,0))),"")</f>
        <v/>
      </c>
      <c r="G68" s="54" t="str">
        <f aca="false">IFERROR(IF(INDEX('Shopping List'!$I$5:$I$316,MATCH($A68,'Shopping List'!$O$5:$O$316,0))="","",INDEX('Shopping List'!$I$5:$I$316,MATCH($A68,'Shopping List'!$O$5:$O$316,0))),"")</f>
        <v/>
      </c>
      <c r="H68" s="46" t="str">
        <f aca="false">IFERROR(IF(INDEX('Shopping List'!$L$5:$L$316,MATCH($A68,'Shopping List'!$O$5:$O$316,0))="","",INDEX('Shopping List'!$L$5:$L$316,MATCH($A68,'Shopping List'!$O$5:$O$316,0))),"")</f>
        <v/>
      </c>
      <c r="I68" s="46" t="str">
        <f aca="false">IFERROR(IF(INDEX('Shopping List'!$M$5:$M$316,MATCH($A68,'Shopping List'!$O$5:$O$316,0))="","",INDEX('Shopping List'!$M$5:$M$316,MATCH($A68,'Shopping List'!$O$5:$O$316,0))),"")</f>
        <v/>
      </c>
      <c r="J68" s="53" t="str">
        <f aca="false">IFERROR(IF(INDEX('Shopping List'!$N$5:$N$316,MATCH($A68,'Shopping List'!$O$5:$O$316,0))="","",INDEX('Shopping List'!$N$5:$N$316,MATCH($A68,'Shopping List'!$O$5:$O$316,0))),"")</f>
        <v/>
      </c>
    </row>
    <row r="69" customFormat="false" ht="15" hidden="false" customHeight="false" outlineLevel="0" collapsed="false">
      <c r="A69" s="52" t="n">
        <v>62</v>
      </c>
      <c r="B69" s="53" t="str">
        <f aca="false">IFERROR(IF(INDEX('Shopping List'!$D$5:$D$316,MATCH($A69,'Shopping List'!$O$5:$O$316,0))="","",INDEX('Shopping List'!$D$5:$D$316,MATCH($A69,'Shopping List'!$O$5:$O$316,0))),"")</f>
        <v/>
      </c>
      <c r="C69" s="53" t="str">
        <f aca="false">IFERROR(IF(INDEX('Shopping List'!$E$5:$E$316,MATCH($A69,'Shopping List'!$O$5:$O$316,0))="","",INDEX('Shopping List'!$E$5:$E$316,MATCH($A69,'Shopping List'!$O$5:$O$316,0))),"")</f>
        <v/>
      </c>
      <c r="D69" s="53" t="str">
        <f aca="false">IFERROR(IF(INDEX('Shopping List'!$F$5:$F$316,MATCH($A69,'Shopping List'!$O$5:$O$316,0))="","",INDEX('Shopping List'!$F$5:$F$316,MATCH($A69,'Shopping List'!$O$5:$O$316,0))),"")</f>
        <v/>
      </c>
      <c r="E69" s="46" t="str">
        <f aca="false">IFERROR(IF(INDEX('Shopping List'!$G$5:$G$316,MATCH($A69,'Shopping List'!$O$5:$O$316,0))="","",INDEX('Shopping List'!$G$5:$G$316,MATCH($A69,'Shopping List'!$O$5:$O$316,0))),"")</f>
        <v/>
      </c>
      <c r="F69" s="46" t="str">
        <f aca="false">IFERROR(IF(INDEX('Shopping List'!$H$5:$H$316,MATCH($A69,'Shopping List'!$O$5:$O$316,0))="","",INDEX('Shopping List'!$H$5:$H$316,MATCH($A69,'Shopping List'!$O$5:$O$316,0))),"")</f>
        <v/>
      </c>
      <c r="G69" s="54" t="str">
        <f aca="false">IFERROR(IF(INDEX('Shopping List'!$I$5:$I$316,MATCH($A69,'Shopping List'!$O$5:$O$316,0))="","",INDEX('Shopping List'!$I$5:$I$316,MATCH($A69,'Shopping List'!$O$5:$O$316,0))),"")</f>
        <v/>
      </c>
      <c r="H69" s="46" t="str">
        <f aca="false">IFERROR(IF(INDEX('Shopping List'!$L$5:$L$316,MATCH($A69,'Shopping List'!$O$5:$O$316,0))="","",INDEX('Shopping List'!$L$5:$L$316,MATCH($A69,'Shopping List'!$O$5:$O$316,0))),"")</f>
        <v/>
      </c>
      <c r="I69" s="46" t="str">
        <f aca="false">IFERROR(IF(INDEX('Shopping List'!$M$5:$M$316,MATCH($A69,'Shopping List'!$O$5:$O$316,0))="","",INDEX('Shopping List'!$M$5:$M$316,MATCH($A69,'Shopping List'!$O$5:$O$316,0))),"")</f>
        <v/>
      </c>
      <c r="J69" s="53" t="str">
        <f aca="false">IFERROR(IF(INDEX('Shopping List'!$N$5:$N$316,MATCH($A69,'Shopping List'!$O$5:$O$316,0))="","",INDEX('Shopping List'!$N$5:$N$316,MATCH($A69,'Shopping List'!$O$5:$O$316,0))),"")</f>
        <v/>
      </c>
    </row>
    <row r="70" customFormat="false" ht="15" hidden="false" customHeight="false" outlineLevel="0" collapsed="false">
      <c r="A70" s="52" t="n">
        <v>63</v>
      </c>
      <c r="B70" s="53" t="str">
        <f aca="false">IFERROR(IF(INDEX('Shopping List'!$D$5:$D$316,MATCH($A70,'Shopping List'!$O$5:$O$316,0))="","",INDEX('Shopping List'!$D$5:$D$316,MATCH($A70,'Shopping List'!$O$5:$O$316,0))),"")</f>
        <v/>
      </c>
      <c r="C70" s="53" t="str">
        <f aca="false">IFERROR(IF(INDEX('Shopping List'!$E$5:$E$316,MATCH($A70,'Shopping List'!$O$5:$O$316,0))="","",INDEX('Shopping List'!$E$5:$E$316,MATCH($A70,'Shopping List'!$O$5:$O$316,0))),"")</f>
        <v/>
      </c>
      <c r="D70" s="53" t="str">
        <f aca="false">IFERROR(IF(INDEX('Shopping List'!$F$5:$F$316,MATCH($A70,'Shopping List'!$O$5:$O$316,0))="","",INDEX('Shopping List'!$F$5:$F$316,MATCH($A70,'Shopping List'!$O$5:$O$316,0))),"")</f>
        <v/>
      </c>
      <c r="E70" s="46" t="str">
        <f aca="false">IFERROR(IF(INDEX('Shopping List'!$G$5:$G$316,MATCH($A70,'Shopping List'!$O$5:$O$316,0))="","",INDEX('Shopping List'!$G$5:$G$316,MATCH($A70,'Shopping List'!$O$5:$O$316,0))),"")</f>
        <v/>
      </c>
      <c r="F70" s="46" t="str">
        <f aca="false">IFERROR(IF(INDEX('Shopping List'!$H$5:$H$316,MATCH($A70,'Shopping List'!$O$5:$O$316,0))="","",INDEX('Shopping List'!$H$5:$H$316,MATCH($A70,'Shopping List'!$O$5:$O$316,0))),"")</f>
        <v/>
      </c>
      <c r="G70" s="54" t="str">
        <f aca="false">IFERROR(IF(INDEX('Shopping List'!$I$5:$I$316,MATCH($A70,'Shopping List'!$O$5:$O$316,0))="","",INDEX('Shopping List'!$I$5:$I$316,MATCH($A70,'Shopping List'!$O$5:$O$316,0))),"")</f>
        <v/>
      </c>
      <c r="H70" s="46" t="str">
        <f aca="false">IFERROR(IF(INDEX('Shopping List'!$L$5:$L$316,MATCH($A70,'Shopping List'!$O$5:$O$316,0))="","",INDEX('Shopping List'!$L$5:$L$316,MATCH($A70,'Shopping List'!$O$5:$O$316,0))),"")</f>
        <v/>
      </c>
      <c r="I70" s="46" t="str">
        <f aca="false">IFERROR(IF(INDEX('Shopping List'!$M$5:$M$316,MATCH($A70,'Shopping List'!$O$5:$O$316,0))="","",INDEX('Shopping List'!$M$5:$M$316,MATCH($A70,'Shopping List'!$O$5:$O$316,0))),"")</f>
        <v/>
      </c>
      <c r="J70" s="53" t="str">
        <f aca="false">IFERROR(IF(INDEX('Shopping List'!$N$5:$N$316,MATCH($A70,'Shopping List'!$O$5:$O$316,0))="","",INDEX('Shopping List'!$N$5:$N$316,MATCH($A70,'Shopping List'!$O$5:$O$316,0))),"")</f>
        <v/>
      </c>
    </row>
    <row r="71" customFormat="false" ht="15" hidden="false" customHeight="false" outlineLevel="0" collapsed="false">
      <c r="A71" s="52" t="n">
        <v>64</v>
      </c>
      <c r="B71" s="53" t="str">
        <f aca="false">IFERROR(IF(INDEX('Shopping List'!$D$5:$D$316,MATCH($A71,'Shopping List'!$O$5:$O$316,0))="","",INDEX('Shopping List'!$D$5:$D$316,MATCH($A71,'Shopping List'!$O$5:$O$316,0))),"")</f>
        <v/>
      </c>
      <c r="C71" s="53" t="str">
        <f aca="false">IFERROR(IF(INDEX('Shopping List'!$E$5:$E$316,MATCH($A71,'Shopping List'!$O$5:$O$316,0))="","",INDEX('Shopping List'!$E$5:$E$316,MATCH($A71,'Shopping List'!$O$5:$O$316,0))),"")</f>
        <v/>
      </c>
      <c r="D71" s="53" t="str">
        <f aca="false">IFERROR(IF(INDEX('Shopping List'!$F$5:$F$316,MATCH($A71,'Shopping List'!$O$5:$O$316,0))="","",INDEX('Shopping List'!$F$5:$F$316,MATCH($A71,'Shopping List'!$O$5:$O$316,0))),"")</f>
        <v/>
      </c>
      <c r="E71" s="46" t="str">
        <f aca="false">IFERROR(IF(INDEX('Shopping List'!$G$5:$G$316,MATCH($A71,'Shopping List'!$O$5:$O$316,0))="","",INDEX('Shopping List'!$G$5:$G$316,MATCH($A71,'Shopping List'!$O$5:$O$316,0))),"")</f>
        <v/>
      </c>
      <c r="F71" s="46" t="str">
        <f aca="false">IFERROR(IF(INDEX('Shopping List'!$H$5:$H$316,MATCH($A71,'Shopping List'!$O$5:$O$316,0))="","",INDEX('Shopping List'!$H$5:$H$316,MATCH($A71,'Shopping List'!$O$5:$O$316,0))),"")</f>
        <v/>
      </c>
      <c r="G71" s="54" t="str">
        <f aca="false">IFERROR(IF(INDEX('Shopping List'!$I$5:$I$316,MATCH($A71,'Shopping List'!$O$5:$O$316,0))="","",INDEX('Shopping List'!$I$5:$I$316,MATCH($A71,'Shopping List'!$O$5:$O$316,0))),"")</f>
        <v/>
      </c>
      <c r="H71" s="46" t="str">
        <f aca="false">IFERROR(IF(INDEX('Shopping List'!$L$5:$L$316,MATCH($A71,'Shopping List'!$O$5:$O$316,0))="","",INDEX('Shopping List'!$L$5:$L$316,MATCH($A71,'Shopping List'!$O$5:$O$316,0))),"")</f>
        <v/>
      </c>
      <c r="I71" s="46" t="str">
        <f aca="false">IFERROR(IF(INDEX('Shopping List'!$M$5:$M$316,MATCH($A71,'Shopping List'!$O$5:$O$316,0))="","",INDEX('Shopping List'!$M$5:$M$316,MATCH($A71,'Shopping List'!$O$5:$O$316,0))),"")</f>
        <v/>
      </c>
      <c r="J71" s="53" t="str">
        <f aca="false">IFERROR(IF(INDEX('Shopping List'!$N$5:$N$316,MATCH($A71,'Shopping List'!$O$5:$O$316,0))="","",INDEX('Shopping List'!$N$5:$N$316,MATCH($A71,'Shopping List'!$O$5:$O$316,0))),"")</f>
        <v/>
      </c>
    </row>
    <row r="72" customFormat="false" ht="15" hidden="false" customHeight="false" outlineLevel="0" collapsed="false">
      <c r="A72" s="52" t="n">
        <v>65</v>
      </c>
      <c r="B72" s="53" t="str">
        <f aca="false">IFERROR(IF(INDEX('Shopping List'!$D$5:$D$316,MATCH($A72,'Shopping List'!$O$5:$O$316,0))="","",INDEX('Shopping List'!$D$5:$D$316,MATCH($A72,'Shopping List'!$O$5:$O$316,0))),"")</f>
        <v/>
      </c>
      <c r="C72" s="53" t="str">
        <f aca="false">IFERROR(IF(INDEX('Shopping List'!$E$5:$E$316,MATCH($A72,'Shopping List'!$O$5:$O$316,0))="","",INDEX('Shopping List'!$E$5:$E$316,MATCH($A72,'Shopping List'!$O$5:$O$316,0))),"")</f>
        <v/>
      </c>
      <c r="D72" s="53" t="str">
        <f aca="false">IFERROR(IF(INDEX('Shopping List'!$F$5:$F$316,MATCH($A72,'Shopping List'!$O$5:$O$316,0))="","",INDEX('Shopping List'!$F$5:$F$316,MATCH($A72,'Shopping List'!$O$5:$O$316,0))),"")</f>
        <v/>
      </c>
      <c r="E72" s="46" t="str">
        <f aca="false">IFERROR(IF(INDEX('Shopping List'!$G$5:$G$316,MATCH($A72,'Shopping List'!$O$5:$O$316,0))="","",INDEX('Shopping List'!$G$5:$G$316,MATCH($A72,'Shopping List'!$O$5:$O$316,0))),"")</f>
        <v/>
      </c>
      <c r="F72" s="46" t="str">
        <f aca="false">IFERROR(IF(INDEX('Shopping List'!$H$5:$H$316,MATCH($A72,'Shopping List'!$O$5:$O$316,0))="","",INDEX('Shopping List'!$H$5:$H$316,MATCH($A72,'Shopping List'!$O$5:$O$316,0))),"")</f>
        <v/>
      </c>
      <c r="G72" s="54" t="str">
        <f aca="false">IFERROR(IF(INDEX('Shopping List'!$I$5:$I$316,MATCH($A72,'Shopping List'!$O$5:$O$316,0))="","",INDEX('Shopping List'!$I$5:$I$316,MATCH($A72,'Shopping List'!$O$5:$O$316,0))),"")</f>
        <v/>
      </c>
      <c r="H72" s="46" t="str">
        <f aca="false">IFERROR(IF(INDEX('Shopping List'!$L$5:$L$316,MATCH($A72,'Shopping List'!$O$5:$O$316,0))="","",INDEX('Shopping List'!$L$5:$L$316,MATCH($A72,'Shopping List'!$O$5:$O$316,0))),"")</f>
        <v/>
      </c>
      <c r="I72" s="46" t="str">
        <f aca="false">IFERROR(IF(INDEX('Shopping List'!$M$5:$M$316,MATCH($A72,'Shopping List'!$O$5:$O$316,0))="","",INDEX('Shopping List'!$M$5:$M$316,MATCH($A72,'Shopping List'!$O$5:$O$316,0))),"")</f>
        <v/>
      </c>
      <c r="J72" s="53" t="str">
        <f aca="false">IFERROR(IF(INDEX('Shopping List'!$N$5:$N$316,MATCH($A72,'Shopping List'!$O$5:$O$316,0))="","",INDEX('Shopping List'!$N$5:$N$316,MATCH($A72,'Shopping List'!$O$5:$O$316,0))),"")</f>
        <v/>
      </c>
    </row>
    <row r="73" customFormat="false" ht="15" hidden="false" customHeight="false" outlineLevel="0" collapsed="false">
      <c r="A73" s="52" t="n">
        <v>66</v>
      </c>
      <c r="B73" s="53" t="str">
        <f aca="false">IFERROR(IF(INDEX('Shopping List'!$D$5:$D$316,MATCH($A73,'Shopping List'!$O$5:$O$316,0))="","",INDEX('Shopping List'!$D$5:$D$316,MATCH($A73,'Shopping List'!$O$5:$O$316,0))),"")</f>
        <v/>
      </c>
      <c r="C73" s="53" t="str">
        <f aca="false">IFERROR(IF(INDEX('Shopping List'!$E$5:$E$316,MATCH($A73,'Shopping List'!$O$5:$O$316,0))="","",INDEX('Shopping List'!$E$5:$E$316,MATCH($A73,'Shopping List'!$O$5:$O$316,0))),"")</f>
        <v/>
      </c>
      <c r="D73" s="53" t="str">
        <f aca="false">IFERROR(IF(INDEX('Shopping List'!$F$5:$F$316,MATCH($A73,'Shopping List'!$O$5:$O$316,0))="","",INDEX('Shopping List'!$F$5:$F$316,MATCH($A73,'Shopping List'!$O$5:$O$316,0))),"")</f>
        <v/>
      </c>
      <c r="E73" s="46" t="str">
        <f aca="false">IFERROR(IF(INDEX('Shopping List'!$G$5:$G$316,MATCH($A73,'Shopping List'!$O$5:$O$316,0))="","",INDEX('Shopping List'!$G$5:$G$316,MATCH($A73,'Shopping List'!$O$5:$O$316,0))),"")</f>
        <v/>
      </c>
      <c r="F73" s="46" t="str">
        <f aca="false">IFERROR(IF(INDEX('Shopping List'!$H$5:$H$316,MATCH($A73,'Shopping List'!$O$5:$O$316,0))="","",INDEX('Shopping List'!$H$5:$H$316,MATCH($A73,'Shopping List'!$O$5:$O$316,0))),"")</f>
        <v/>
      </c>
      <c r="G73" s="54" t="str">
        <f aca="false">IFERROR(IF(INDEX('Shopping List'!$I$5:$I$316,MATCH($A73,'Shopping List'!$O$5:$O$316,0))="","",INDEX('Shopping List'!$I$5:$I$316,MATCH($A73,'Shopping List'!$O$5:$O$316,0))),"")</f>
        <v/>
      </c>
      <c r="H73" s="46" t="str">
        <f aca="false">IFERROR(IF(INDEX('Shopping List'!$L$5:$L$316,MATCH($A73,'Shopping List'!$O$5:$O$316,0))="","",INDEX('Shopping List'!$L$5:$L$316,MATCH($A73,'Shopping List'!$O$5:$O$316,0))),"")</f>
        <v/>
      </c>
      <c r="I73" s="46" t="str">
        <f aca="false">IFERROR(IF(INDEX('Shopping List'!$M$5:$M$316,MATCH($A73,'Shopping List'!$O$5:$O$316,0))="","",INDEX('Shopping List'!$M$5:$M$316,MATCH($A73,'Shopping List'!$O$5:$O$316,0))),"")</f>
        <v/>
      </c>
      <c r="J73" s="53" t="str">
        <f aca="false">IFERROR(IF(INDEX('Shopping List'!$N$5:$N$316,MATCH($A73,'Shopping List'!$O$5:$O$316,0))="","",INDEX('Shopping List'!$N$5:$N$316,MATCH($A73,'Shopping List'!$O$5:$O$316,0))),"")</f>
        <v/>
      </c>
    </row>
    <row r="74" customFormat="false" ht="15" hidden="false" customHeight="false" outlineLevel="0" collapsed="false">
      <c r="A74" s="52" t="n">
        <v>67</v>
      </c>
      <c r="B74" s="53" t="str">
        <f aca="false">IFERROR(IF(INDEX('Shopping List'!$D$5:$D$316,MATCH($A74,'Shopping List'!$O$5:$O$316,0))="","",INDEX('Shopping List'!$D$5:$D$316,MATCH($A74,'Shopping List'!$O$5:$O$316,0))),"")</f>
        <v/>
      </c>
      <c r="C74" s="53" t="str">
        <f aca="false">IFERROR(IF(INDEX('Shopping List'!$E$5:$E$316,MATCH($A74,'Shopping List'!$O$5:$O$316,0))="","",INDEX('Shopping List'!$E$5:$E$316,MATCH($A74,'Shopping List'!$O$5:$O$316,0))),"")</f>
        <v/>
      </c>
      <c r="D74" s="53" t="str">
        <f aca="false">IFERROR(IF(INDEX('Shopping List'!$F$5:$F$316,MATCH($A74,'Shopping List'!$O$5:$O$316,0))="","",INDEX('Shopping List'!$F$5:$F$316,MATCH($A74,'Shopping List'!$O$5:$O$316,0))),"")</f>
        <v/>
      </c>
      <c r="E74" s="46" t="str">
        <f aca="false">IFERROR(IF(INDEX('Shopping List'!$G$5:$G$316,MATCH($A74,'Shopping List'!$O$5:$O$316,0))="","",INDEX('Shopping List'!$G$5:$G$316,MATCH($A74,'Shopping List'!$O$5:$O$316,0))),"")</f>
        <v/>
      </c>
      <c r="F74" s="46" t="str">
        <f aca="false">IFERROR(IF(INDEX('Shopping List'!$H$5:$H$316,MATCH($A74,'Shopping List'!$O$5:$O$316,0))="","",INDEX('Shopping List'!$H$5:$H$316,MATCH($A74,'Shopping List'!$O$5:$O$316,0))),"")</f>
        <v/>
      </c>
      <c r="G74" s="54" t="str">
        <f aca="false">IFERROR(IF(INDEX('Shopping List'!$I$5:$I$316,MATCH($A74,'Shopping List'!$O$5:$O$316,0))="","",INDEX('Shopping List'!$I$5:$I$316,MATCH($A74,'Shopping List'!$O$5:$O$316,0))),"")</f>
        <v/>
      </c>
      <c r="H74" s="46" t="str">
        <f aca="false">IFERROR(IF(INDEX('Shopping List'!$L$5:$L$316,MATCH($A74,'Shopping List'!$O$5:$O$316,0))="","",INDEX('Shopping List'!$L$5:$L$316,MATCH($A74,'Shopping List'!$O$5:$O$316,0))),"")</f>
        <v/>
      </c>
      <c r="I74" s="46" t="str">
        <f aca="false">IFERROR(IF(INDEX('Shopping List'!$M$5:$M$316,MATCH($A74,'Shopping List'!$O$5:$O$316,0))="","",INDEX('Shopping List'!$M$5:$M$316,MATCH($A74,'Shopping List'!$O$5:$O$316,0))),"")</f>
        <v/>
      </c>
      <c r="J74" s="53" t="str">
        <f aca="false">IFERROR(IF(INDEX('Shopping List'!$N$5:$N$316,MATCH($A74,'Shopping List'!$O$5:$O$316,0))="","",INDEX('Shopping List'!$N$5:$N$316,MATCH($A74,'Shopping List'!$O$5:$O$316,0))),"")</f>
        <v/>
      </c>
    </row>
    <row r="75" customFormat="false" ht="15" hidden="false" customHeight="false" outlineLevel="0" collapsed="false">
      <c r="A75" s="52" t="n">
        <v>68</v>
      </c>
      <c r="B75" s="53" t="str">
        <f aca="false">IFERROR(IF(INDEX('Shopping List'!$D$5:$D$316,MATCH($A75,'Shopping List'!$O$5:$O$316,0))="","",INDEX('Shopping List'!$D$5:$D$316,MATCH($A75,'Shopping List'!$O$5:$O$316,0))),"")</f>
        <v/>
      </c>
      <c r="C75" s="53" t="str">
        <f aca="false">IFERROR(IF(INDEX('Shopping List'!$E$5:$E$316,MATCH($A75,'Shopping List'!$O$5:$O$316,0))="","",INDEX('Shopping List'!$E$5:$E$316,MATCH($A75,'Shopping List'!$O$5:$O$316,0))),"")</f>
        <v/>
      </c>
      <c r="D75" s="53" t="str">
        <f aca="false">IFERROR(IF(INDEX('Shopping List'!$F$5:$F$316,MATCH($A75,'Shopping List'!$O$5:$O$316,0))="","",INDEX('Shopping List'!$F$5:$F$316,MATCH($A75,'Shopping List'!$O$5:$O$316,0))),"")</f>
        <v/>
      </c>
      <c r="E75" s="46" t="str">
        <f aca="false">IFERROR(IF(INDEX('Shopping List'!$G$5:$G$316,MATCH($A75,'Shopping List'!$O$5:$O$316,0))="","",INDEX('Shopping List'!$G$5:$G$316,MATCH($A75,'Shopping List'!$O$5:$O$316,0))),"")</f>
        <v/>
      </c>
      <c r="F75" s="46" t="str">
        <f aca="false">IFERROR(IF(INDEX('Shopping List'!$H$5:$H$316,MATCH($A75,'Shopping List'!$O$5:$O$316,0))="","",INDEX('Shopping List'!$H$5:$H$316,MATCH($A75,'Shopping List'!$O$5:$O$316,0))),"")</f>
        <v/>
      </c>
      <c r="G75" s="54" t="str">
        <f aca="false">IFERROR(IF(INDEX('Shopping List'!$I$5:$I$316,MATCH($A75,'Shopping List'!$O$5:$O$316,0))="","",INDEX('Shopping List'!$I$5:$I$316,MATCH($A75,'Shopping List'!$O$5:$O$316,0))),"")</f>
        <v/>
      </c>
      <c r="H75" s="46" t="str">
        <f aca="false">IFERROR(IF(INDEX('Shopping List'!$L$5:$L$316,MATCH($A75,'Shopping List'!$O$5:$O$316,0))="","",INDEX('Shopping List'!$L$5:$L$316,MATCH($A75,'Shopping List'!$O$5:$O$316,0))),"")</f>
        <v/>
      </c>
      <c r="I75" s="46" t="str">
        <f aca="false">IFERROR(IF(INDEX('Shopping List'!$M$5:$M$316,MATCH($A75,'Shopping List'!$O$5:$O$316,0))="","",INDEX('Shopping List'!$M$5:$M$316,MATCH($A75,'Shopping List'!$O$5:$O$316,0))),"")</f>
        <v/>
      </c>
      <c r="J75" s="53" t="str">
        <f aca="false">IFERROR(IF(INDEX('Shopping List'!$N$5:$N$316,MATCH($A75,'Shopping List'!$O$5:$O$316,0))="","",INDEX('Shopping List'!$N$5:$N$316,MATCH($A75,'Shopping List'!$O$5:$O$316,0))),"")</f>
        <v/>
      </c>
    </row>
    <row r="76" customFormat="false" ht="15" hidden="false" customHeight="false" outlineLevel="0" collapsed="false">
      <c r="A76" s="52" t="n">
        <v>69</v>
      </c>
      <c r="B76" s="53" t="str">
        <f aca="false">IFERROR(IF(INDEX('Shopping List'!$D$5:$D$316,MATCH($A76,'Shopping List'!$O$5:$O$316,0))="","",INDEX('Shopping List'!$D$5:$D$316,MATCH($A76,'Shopping List'!$O$5:$O$316,0))),"")</f>
        <v/>
      </c>
      <c r="C76" s="53" t="str">
        <f aca="false">IFERROR(IF(INDEX('Shopping List'!$E$5:$E$316,MATCH($A76,'Shopping List'!$O$5:$O$316,0))="","",INDEX('Shopping List'!$E$5:$E$316,MATCH($A76,'Shopping List'!$O$5:$O$316,0))),"")</f>
        <v/>
      </c>
      <c r="D76" s="53" t="str">
        <f aca="false">IFERROR(IF(INDEX('Shopping List'!$F$5:$F$316,MATCH($A76,'Shopping List'!$O$5:$O$316,0))="","",INDEX('Shopping List'!$F$5:$F$316,MATCH($A76,'Shopping List'!$O$5:$O$316,0))),"")</f>
        <v/>
      </c>
      <c r="E76" s="46" t="str">
        <f aca="false">IFERROR(IF(INDEX('Shopping List'!$G$5:$G$316,MATCH($A76,'Shopping List'!$O$5:$O$316,0))="","",INDEX('Shopping List'!$G$5:$G$316,MATCH($A76,'Shopping List'!$O$5:$O$316,0))),"")</f>
        <v/>
      </c>
      <c r="F76" s="46" t="str">
        <f aca="false">IFERROR(IF(INDEX('Shopping List'!$H$5:$H$316,MATCH($A76,'Shopping List'!$O$5:$O$316,0))="","",INDEX('Shopping List'!$H$5:$H$316,MATCH($A76,'Shopping List'!$O$5:$O$316,0))),"")</f>
        <v/>
      </c>
      <c r="G76" s="54" t="str">
        <f aca="false">IFERROR(IF(INDEX('Shopping List'!$I$5:$I$316,MATCH($A76,'Shopping List'!$O$5:$O$316,0))="","",INDEX('Shopping List'!$I$5:$I$316,MATCH($A76,'Shopping List'!$O$5:$O$316,0))),"")</f>
        <v/>
      </c>
      <c r="H76" s="46" t="str">
        <f aca="false">IFERROR(IF(INDEX('Shopping List'!$L$5:$L$316,MATCH($A76,'Shopping List'!$O$5:$O$316,0))="","",INDEX('Shopping List'!$L$5:$L$316,MATCH($A76,'Shopping List'!$O$5:$O$316,0))),"")</f>
        <v/>
      </c>
      <c r="I76" s="46" t="str">
        <f aca="false">IFERROR(IF(INDEX('Shopping List'!$M$5:$M$316,MATCH($A76,'Shopping List'!$O$5:$O$316,0))="","",INDEX('Shopping List'!$M$5:$M$316,MATCH($A76,'Shopping List'!$O$5:$O$316,0))),"")</f>
        <v/>
      </c>
      <c r="J76" s="53" t="str">
        <f aca="false">IFERROR(IF(INDEX('Shopping List'!$N$5:$N$316,MATCH($A76,'Shopping List'!$O$5:$O$316,0))="","",INDEX('Shopping List'!$N$5:$N$316,MATCH($A76,'Shopping List'!$O$5:$O$316,0))),"")</f>
        <v/>
      </c>
    </row>
    <row r="77" customFormat="false" ht="15" hidden="false" customHeight="false" outlineLevel="0" collapsed="false">
      <c r="A77" s="52" t="n">
        <v>70</v>
      </c>
      <c r="B77" s="53" t="str">
        <f aca="false">IFERROR(IF(INDEX('Shopping List'!$D$5:$D$316,MATCH($A77,'Shopping List'!$O$5:$O$316,0))="","",INDEX('Shopping List'!$D$5:$D$316,MATCH($A77,'Shopping List'!$O$5:$O$316,0))),"")</f>
        <v/>
      </c>
      <c r="C77" s="53" t="str">
        <f aca="false">IFERROR(IF(INDEX('Shopping List'!$E$5:$E$316,MATCH($A77,'Shopping List'!$O$5:$O$316,0))="","",INDEX('Shopping List'!$E$5:$E$316,MATCH($A77,'Shopping List'!$O$5:$O$316,0))),"")</f>
        <v/>
      </c>
      <c r="D77" s="53" t="str">
        <f aca="false">IFERROR(IF(INDEX('Shopping List'!$F$5:$F$316,MATCH($A77,'Shopping List'!$O$5:$O$316,0))="","",INDEX('Shopping List'!$F$5:$F$316,MATCH($A77,'Shopping List'!$O$5:$O$316,0))),"")</f>
        <v/>
      </c>
      <c r="E77" s="46" t="str">
        <f aca="false">IFERROR(IF(INDEX('Shopping List'!$G$5:$G$316,MATCH($A77,'Shopping List'!$O$5:$O$316,0))="","",INDEX('Shopping List'!$G$5:$G$316,MATCH($A77,'Shopping List'!$O$5:$O$316,0))),"")</f>
        <v/>
      </c>
      <c r="F77" s="46" t="str">
        <f aca="false">IFERROR(IF(INDEX('Shopping List'!$H$5:$H$316,MATCH($A77,'Shopping List'!$O$5:$O$316,0))="","",INDEX('Shopping List'!$H$5:$H$316,MATCH($A77,'Shopping List'!$O$5:$O$316,0))),"")</f>
        <v/>
      </c>
      <c r="G77" s="54" t="str">
        <f aca="false">IFERROR(IF(INDEX('Shopping List'!$I$5:$I$316,MATCH($A77,'Shopping List'!$O$5:$O$316,0))="","",INDEX('Shopping List'!$I$5:$I$316,MATCH($A77,'Shopping List'!$O$5:$O$316,0))),"")</f>
        <v/>
      </c>
      <c r="H77" s="46" t="str">
        <f aca="false">IFERROR(IF(INDEX('Shopping List'!$L$5:$L$316,MATCH($A77,'Shopping List'!$O$5:$O$316,0))="","",INDEX('Shopping List'!$L$5:$L$316,MATCH($A77,'Shopping List'!$O$5:$O$316,0))),"")</f>
        <v/>
      </c>
      <c r="I77" s="46" t="str">
        <f aca="false">IFERROR(IF(INDEX('Shopping List'!$M$5:$M$316,MATCH($A77,'Shopping List'!$O$5:$O$316,0))="","",INDEX('Shopping List'!$M$5:$M$316,MATCH($A77,'Shopping List'!$O$5:$O$316,0))),"")</f>
        <v/>
      </c>
      <c r="J77" s="53" t="str">
        <f aca="false">IFERROR(IF(INDEX('Shopping List'!$N$5:$N$316,MATCH($A77,'Shopping List'!$O$5:$O$316,0))="","",INDEX('Shopping List'!$N$5:$N$316,MATCH($A77,'Shopping List'!$O$5:$O$316,0))),"")</f>
        <v/>
      </c>
    </row>
    <row r="78" customFormat="false" ht="15" hidden="false" customHeight="false" outlineLevel="0" collapsed="false">
      <c r="A78" s="52" t="n">
        <v>71</v>
      </c>
      <c r="B78" s="53" t="str">
        <f aca="false">IFERROR(IF(INDEX('Shopping List'!$D$5:$D$316,MATCH($A78,'Shopping List'!$O$5:$O$316,0))="","",INDEX('Shopping List'!$D$5:$D$316,MATCH($A78,'Shopping List'!$O$5:$O$316,0))),"")</f>
        <v/>
      </c>
      <c r="C78" s="53" t="str">
        <f aca="false">IFERROR(IF(INDEX('Shopping List'!$E$5:$E$316,MATCH($A78,'Shopping List'!$O$5:$O$316,0))="","",INDEX('Shopping List'!$E$5:$E$316,MATCH($A78,'Shopping List'!$O$5:$O$316,0))),"")</f>
        <v/>
      </c>
      <c r="D78" s="53" t="str">
        <f aca="false">IFERROR(IF(INDEX('Shopping List'!$F$5:$F$316,MATCH($A78,'Shopping List'!$O$5:$O$316,0))="","",INDEX('Shopping List'!$F$5:$F$316,MATCH($A78,'Shopping List'!$O$5:$O$316,0))),"")</f>
        <v/>
      </c>
      <c r="E78" s="46" t="str">
        <f aca="false">IFERROR(IF(INDEX('Shopping List'!$G$5:$G$316,MATCH($A78,'Shopping List'!$O$5:$O$316,0))="","",INDEX('Shopping List'!$G$5:$G$316,MATCH($A78,'Shopping List'!$O$5:$O$316,0))),"")</f>
        <v/>
      </c>
      <c r="F78" s="46" t="str">
        <f aca="false">IFERROR(IF(INDEX('Shopping List'!$H$5:$H$316,MATCH($A78,'Shopping List'!$O$5:$O$316,0))="","",INDEX('Shopping List'!$H$5:$H$316,MATCH($A78,'Shopping List'!$O$5:$O$316,0))),"")</f>
        <v/>
      </c>
      <c r="G78" s="54" t="str">
        <f aca="false">IFERROR(IF(INDEX('Shopping List'!$I$5:$I$316,MATCH($A78,'Shopping List'!$O$5:$O$316,0))="","",INDEX('Shopping List'!$I$5:$I$316,MATCH($A78,'Shopping List'!$O$5:$O$316,0))),"")</f>
        <v/>
      </c>
      <c r="H78" s="46" t="str">
        <f aca="false">IFERROR(IF(INDEX('Shopping List'!$L$5:$L$316,MATCH($A78,'Shopping List'!$O$5:$O$316,0))="","",INDEX('Shopping List'!$L$5:$L$316,MATCH($A78,'Shopping List'!$O$5:$O$316,0))),"")</f>
        <v/>
      </c>
      <c r="I78" s="46" t="str">
        <f aca="false">IFERROR(IF(INDEX('Shopping List'!$M$5:$M$316,MATCH($A78,'Shopping List'!$O$5:$O$316,0))="","",INDEX('Shopping List'!$M$5:$M$316,MATCH($A78,'Shopping List'!$O$5:$O$316,0))),"")</f>
        <v/>
      </c>
      <c r="J78" s="53" t="str">
        <f aca="false">IFERROR(IF(INDEX('Shopping List'!$N$5:$N$316,MATCH($A78,'Shopping List'!$O$5:$O$316,0))="","",INDEX('Shopping List'!$N$5:$N$316,MATCH($A78,'Shopping List'!$O$5:$O$316,0))),"")</f>
        <v/>
      </c>
    </row>
    <row r="79" customFormat="false" ht="15" hidden="false" customHeight="false" outlineLevel="0" collapsed="false">
      <c r="A79" s="52" t="n">
        <v>72</v>
      </c>
      <c r="B79" s="53" t="str">
        <f aca="false">IFERROR(IF(INDEX('Shopping List'!$D$5:$D$316,MATCH($A79,'Shopping List'!$O$5:$O$316,0))="","",INDEX('Shopping List'!$D$5:$D$316,MATCH($A79,'Shopping List'!$O$5:$O$316,0))),"")</f>
        <v/>
      </c>
      <c r="C79" s="53" t="str">
        <f aca="false">IFERROR(IF(INDEX('Shopping List'!$E$5:$E$316,MATCH($A79,'Shopping List'!$O$5:$O$316,0))="","",INDEX('Shopping List'!$E$5:$E$316,MATCH($A79,'Shopping List'!$O$5:$O$316,0))),"")</f>
        <v/>
      </c>
      <c r="D79" s="53" t="str">
        <f aca="false">IFERROR(IF(INDEX('Shopping List'!$F$5:$F$316,MATCH($A79,'Shopping List'!$O$5:$O$316,0))="","",INDEX('Shopping List'!$F$5:$F$316,MATCH($A79,'Shopping List'!$O$5:$O$316,0))),"")</f>
        <v/>
      </c>
      <c r="E79" s="46" t="str">
        <f aca="false">IFERROR(IF(INDEX('Shopping List'!$G$5:$G$316,MATCH($A79,'Shopping List'!$O$5:$O$316,0))="","",INDEX('Shopping List'!$G$5:$G$316,MATCH($A79,'Shopping List'!$O$5:$O$316,0))),"")</f>
        <v/>
      </c>
      <c r="F79" s="46" t="str">
        <f aca="false">IFERROR(IF(INDEX('Shopping List'!$H$5:$H$316,MATCH($A79,'Shopping List'!$O$5:$O$316,0))="","",INDEX('Shopping List'!$H$5:$H$316,MATCH($A79,'Shopping List'!$O$5:$O$316,0))),"")</f>
        <v/>
      </c>
      <c r="G79" s="54" t="str">
        <f aca="false">IFERROR(IF(INDEX('Shopping List'!$I$5:$I$316,MATCH($A79,'Shopping List'!$O$5:$O$316,0))="","",INDEX('Shopping List'!$I$5:$I$316,MATCH($A79,'Shopping List'!$O$5:$O$316,0))),"")</f>
        <v/>
      </c>
      <c r="H79" s="46" t="str">
        <f aca="false">IFERROR(IF(INDEX('Shopping List'!$L$5:$L$316,MATCH($A79,'Shopping List'!$O$5:$O$316,0))="","",INDEX('Shopping List'!$L$5:$L$316,MATCH($A79,'Shopping List'!$O$5:$O$316,0))),"")</f>
        <v/>
      </c>
      <c r="I79" s="46" t="str">
        <f aca="false">IFERROR(IF(INDEX('Shopping List'!$M$5:$M$316,MATCH($A79,'Shopping List'!$O$5:$O$316,0))="","",INDEX('Shopping List'!$M$5:$M$316,MATCH($A79,'Shopping List'!$O$5:$O$316,0))),"")</f>
        <v/>
      </c>
      <c r="J79" s="53" t="str">
        <f aca="false">IFERROR(IF(INDEX('Shopping List'!$N$5:$N$316,MATCH($A79,'Shopping List'!$O$5:$O$316,0))="","",INDEX('Shopping List'!$N$5:$N$316,MATCH($A79,'Shopping List'!$O$5:$O$316,0))),"")</f>
        <v/>
      </c>
    </row>
    <row r="80" customFormat="false" ht="15" hidden="false" customHeight="false" outlineLevel="0" collapsed="false">
      <c r="A80" s="52" t="n">
        <v>73</v>
      </c>
      <c r="B80" s="53" t="str">
        <f aca="false">IFERROR(IF(INDEX('Shopping List'!$D$5:$D$316,MATCH($A80,'Shopping List'!$O$5:$O$316,0))="","",INDEX('Shopping List'!$D$5:$D$316,MATCH($A80,'Shopping List'!$O$5:$O$316,0))),"")</f>
        <v/>
      </c>
      <c r="C80" s="53" t="str">
        <f aca="false">IFERROR(IF(INDEX('Shopping List'!$E$5:$E$316,MATCH($A80,'Shopping List'!$O$5:$O$316,0))="","",INDEX('Shopping List'!$E$5:$E$316,MATCH($A80,'Shopping List'!$O$5:$O$316,0))),"")</f>
        <v/>
      </c>
      <c r="D80" s="53" t="str">
        <f aca="false">IFERROR(IF(INDEX('Shopping List'!$F$5:$F$316,MATCH($A80,'Shopping List'!$O$5:$O$316,0))="","",INDEX('Shopping List'!$F$5:$F$316,MATCH($A80,'Shopping List'!$O$5:$O$316,0))),"")</f>
        <v/>
      </c>
      <c r="E80" s="46" t="str">
        <f aca="false">IFERROR(IF(INDEX('Shopping List'!$G$5:$G$316,MATCH($A80,'Shopping List'!$O$5:$O$316,0))="","",INDEX('Shopping List'!$G$5:$G$316,MATCH($A80,'Shopping List'!$O$5:$O$316,0))),"")</f>
        <v/>
      </c>
      <c r="F80" s="46" t="str">
        <f aca="false">IFERROR(IF(INDEX('Shopping List'!$H$5:$H$316,MATCH($A80,'Shopping List'!$O$5:$O$316,0))="","",INDEX('Shopping List'!$H$5:$H$316,MATCH($A80,'Shopping List'!$O$5:$O$316,0))),"")</f>
        <v/>
      </c>
      <c r="G80" s="54" t="str">
        <f aca="false">IFERROR(IF(INDEX('Shopping List'!$I$5:$I$316,MATCH($A80,'Shopping List'!$O$5:$O$316,0))="","",INDEX('Shopping List'!$I$5:$I$316,MATCH($A80,'Shopping List'!$O$5:$O$316,0))),"")</f>
        <v/>
      </c>
      <c r="H80" s="46" t="str">
        <f aca="false">IFERROR(IF(INDEX('Shopping List'!$L$5:$L$316,MATCH($A80,'Shopping List'!$O$5:$O$316,0))="","",INDEX('Shopping List'!$L$5:$L$316,MATCH($A80,'Shopping List'!$O$5:$O$316,0))),"")</f>
        <v/>
      </c>
      <c r="I80" s="46" t="str">
        <f aca="false">IFERROR(IF(INDEX('Shopping List'!$M$5:$M$316,MATCH($A80,'Shopping List'!$O$5:$O$316,0))="","",INDEX('Shopping List'!$M$5:$M$316,MATCH($A80,'Shopping List'!$O$5:$O$316,0))),"")</f>
        <v/>
      </c>
      <c r="J80" s="53" t="str">
        <f aca="false">IFERROR(IF(INDEX('Shopping List'!$N$5:$N$316,MATCH($A80,'Shopping List'!$O$5:$O$316,0))="","",INDEX('Shopping List'!$N$5:$N$316,MATCH($A80,'Shopping List'!$O$5:$O$316,0))),"")</f>
        <v/>
      </c>
    </row>
    <row r="81" customFormat="false" ht="15" hidden="false" customHeight="false" outlineLevel="0" collapsed="false">
      <c r="A81" s="52" t="n">
        <v>74</v>
      </c>
      <c r="B81" s="53" t="str">
        <f aca="false">IFERROR(IF(INDEX('Shopping List'!$D$5:$D$316,MATCH($A81,'Shopping List'!$O$5:$O$316,0))="","",INDEX('Shopping List'!$D$5:$D$316,MATCH($A81,'Shopping List'!$O$5:$O$316,0))),"")</f>
        <v/>
      </c>
      <c r="C81" s="53" t="str">
        <f aca="false">IFERROR(IF(INDEX('Shopping List'!$E$5:$E$316,MATCH($A81,'Shopping List'!$O$5:$O$316,0))="","",INDEX('Shopping List'!$E$5:$E$316,MATCH($A81,'Shopping List'!$O$5:$O$316,0))),"")</f>
        <v/>
      </c>
      <c r="D81" s="53" t="str">
        <f aca="false">IFERROR(IF(INDEX('Shopping List'!$F$5:$F$316,MATCH($A81,'Shopping List'!$O$5:$O$316,0))="","",INDEX('Shopping List'!$F$5:$F$316,MATCH($A81,'Shopping List'!$O$5:$O$316,0))),"")</f>
        <v/>
      </c>
      <c r="E81" s="46" t="str">
        <f aca="false">IFERROR(IF(INDEX('Shopping List'!$G$5:$G$316,MATCH($A81,'Shopping List'!$O$5:$O$316,0))="","",INDEX('Shopping List'!$G$5:$G$316,MATCH($A81,'Shopping List'!$O$5:$O$316,0))),"")</f>
        <v/>
      </c>
      <c r="F81" s="46" t="str">
        <f aca="false">IFERROR(IF(INDEX('Shopping List'!$H$5:$H$316,MATCH($A81,'Shopping List'!$O$5:$O$316,0))="","",INDEX('Shopping List'!$H$5:$H$316,MATCH($A81,'Shopping List'!$O$5:$O$316,0))),"")</f>
        <v/>
      </c>
      <c r="G81" s="54" t="str">
        <f aca="false">IFERROR(IF(INDEX('Shopping List'!$I$5:$I$316,MATCH($A81,'Shopping List'!$O$5:$O$316,0))="","",INDEX('Shopping List'!$I$5:$I$316,MATCH($A81,'Shopping List'!$O$5:$O$316,0))),"")</f>
        <v/>
      </c>
      <c r="H81" s="46" t="str">
        <f aca="false">IFERROR(IF(INDEX('Shopping List'!$L$5:$L$316,MATCH($A81,'Shopping List'!$O$5:$O$316,0))="","",INDEX('Shopping List'!$L$5:$L$316,MATCH($A81,'Shopping List'!$O$5:$O$316,0))),"")</f>
        <v/>
      </c>
      <c r="I81" s="46" t="str">
        <f aca="false">IFERROR(IF(INDEX('Shopping List'!$M$5:$M$316,MATCH($A81,'Shopping List'!$O$5:$O$316,0))="","",INDEX('Shopping List'!$M$5:$M$316,MATCH($A81,'Shopping List'!$O$5:$O$316,0))),"")</f>
        <v/>
      </c>
      <c r="J81" s="53" t="str">
        <f aca="false">IFERROR(IF(INDEX('Shopping List'!$N$5:$N$316,MATCH($A81,'Shopping List'!$O$5:$O$316,0))="","",INDEX('Shopping List'!$N$5:$N$316,MATCH($A81,'Shopping List'!$O$5:$O$316,0))),"")</f>
        <v/>
      </c>
    </row>
    <row r="82" customFormat="false" ht="15" hidden="false" customHeight="false" outlineLevel="0" collapsed="false">
      <c r="A82" s="52" t="n">
        <v>75</v>
      </c>
      <c r="B82" s="53" t="str">
        <f aca="false">IFERROR(IF(INDEX('Shopping List'!$D$5:$D$316,MATCH($A82,'Shopping List'!$O$5:$O$316,0))="","",INDEX('Shopping List'!$D$5:$D$316,MATCH($A82,'Shopping List'!$O$5:$O$316,0))),"")</f>
        <v/>
      </c>
      <c r="C82" s="53" t="str">
        <f aca="false">IFERROR(IF(INDEX('Shopping List'!$E$5:$E$316,MATCH($A82,'Shopping List'!$O$5:$O$316,0))="","",INDEX('Shopping List'!$E$5:$E$316,MATCH($A82,'Shopping List'!$O$5:$O$316,0))),"")</f>
        <v/>
      </c>
      <c r="D82" s="53" t="str">
        <f aca="false">IFERROR(IF(INDEX('Shopping List'!$F$5:$F$316,MATCH($A82,'Shopping List'!$O$5:$O$316,0))="","",INDEX('Shopping List'!$F$5:$F$316,MATCH($A82,'Shopping List'!$O$5:$O$316,0))),"")</f>
        <v/>
      </c>
      <c r="E82" s="46" t="str">
        <f aca="false">IFERROR(IF(INDEX('Shopping List'!$G$5:$G$316,MATCH($A82,'Shopping List'!$O$5:$O$316,0))="","",INDEX('Shopping List'!$G$5:$G$316,MATCH($A82,'Shopping List'!$O$5:$O$316,0))),"")</f>
        <v/>
      </c>
      <c r="F82" s="46" t="str">
        <f aca="false">IFERROR(IF(INDEX('Shopping List'!$H$5:$H$316,MATCH($A82,'Shopping List'!$O$5:$O$316,0))="","",INDEX('Shopping List'!$H$5:$H$316,MATCH($A82,'Shopping List'!$O$5:$O$316,0))),"")</f>
        <v/>
      </c>
      <c r="G82" s="54" t="str">
        <f aca="false">IFERROR(IF(INDEX('Shopping List'!$I$5:$I$316,MATCH($A82,'Shopping List'!$O$5:$O$316,0))="","",INDEX('Shopping List'!$I$5:$I$316,MATCH($A82,'Shopping List'!$O$5:$O$316,0))),"")</f>
        <v/>
      </c>
      <c r="H82" s="46" t="str">
        <f aca="false">IFERROR(IF(INDEX('Shopping List'!$L$5:$L$316,MATCH($A82,'Shopping List'!$O$5:$O$316,0))="","",INDEX('Shopping List'!$L$5:$L$316,MATCH($A82,'Shopping List'!$O$5:$O$316,0))),"")</f>
        <v/>
      </c>
      <c r="I82" s="46" t="str">
        <f aca="false">IFERROR(IF(INDEX('Shopping List'!$M$5:$M$316,MATCH($A82,'Shopping List'!$O$5:$O$316,0))="","",INDEX('Shopping List'!$M$5:$M$316,MATCH($A82,'Shopping List'!$O$5:$O$316,0))),"")</f>
        <v/>
      </c>
      <c r="J82" s="53" t="str">
        <f aca="false">IFERROR(IF(INDEX('Shopping List'!$N$5:$N$316,MATCH($A82,'Shopping List'!$O$5:$O$316,0))="","",INDEX('Shopping List'!$N$5:$N$316,MATCH($A82,'Shopping List'!$O$5:$O$316,0))),"")</f>
        <v/>
      </c>
    </row>
    <row r="83" customFormat="false" ht="15" hidden="false" customHeight="false" outlineLevel="0" collapsed="false">
      <c r="A83" s="52" t="n">
        <v>76</v>
      </c>
      <c r="B83" s="53" t="str">
        <f aca="false">IFERROR(IF(INDEX('Shopping List'!$D$5:$D$316,MATCH($A83,'Shopping List'!$O$5:$O$316,0))="","",INDEX('Shopping List'!$D$5:$D$316,MATCH($A83,'Shopping List'!$O$5:$O$316,0))),"")</f>
        <v/>
      </c>
      <c r="C83" s="53" t="str">
        <f aca="false">IFERROR(IF(INDEX('Shopping List'!$E$5:$E$316,MATCH($A83,'Shopping List'!$O$5:$O$316,0))="","",INDEX('Shopping List'!$E$5:$E$316,MATCH($A83,'Shopping List'!$O$5:$O$316,0))),"")</f>
        <v/>
      </c>
      <c r="D83" s="53" t="str">
        <f aca="false">IFERROR(IF(INDEX('Shopping List'!$F$5:$F$316,MATCH($A83,'Shopping List'!$O$5:$O$316,0))="","",INDEX('Shopping List'!$F$5:$F$316,MATCH($A83,'Shopping List'!$O$5:$O$316,0))),"")</f>
        <v/>
      </c>
      <c r="E83" s="46" t="str">
        <f aca="false">IFERROR(IF(INDEX('Shopping List'!$G$5:$G$316,MATCH($A83,'Shopping List'!$O$5:$O$316,0))="","",INDEX('Shopping List'!$G$5:$G$316,MATCH($A83,'Shopping List'!$O$5:$O$316,0))),"")</f>
        <v/>
      </c>
      <c r="F83" s="46" t="str">
        <f aca="false">IFERROR(IF(INDEX('Shopping List'!$H$5:$H$316,MATCH($A83,'Shopping List'!$O$5:$O$316,0))="","",INDEX('Shopping List'!$H$5:$H$316,MATCH($A83,'Shopping List'!$O$5:$O$316,0))),"")</f>
        <v/>
      </c>
      <c r="G83" s="54" t="str">
        <f aca="false">IFERROR(IF(INDEX('Shopping List'!$I$5:$I$316,MATCH($A83,'Shopping List'!$O$5:$O$316,0))="","",INDEX('Shopping List'!$I$5:$I$316,MATCH($A83,'Shopping List'!$O$5:$O$316,0))),"")</f>
        <v/>
      </c>
      <c r="H83" s="46" t="str">
        <f aca="false">IFERROR(IF(INDEX('Shopping List'!$L$5:$L$316,MATCH($A83,'Shopping List'!$O$5:$O$316,0))="","",INDEX('Shopping List'!$L$5:$L$316,MATCH($A83,'Shopping List'!$O$5:$O$316,0))),"")</f>
        <v/>
      </c>
      <c r="I83" s="46" t="str">
        <f aca="false">IFERROR(IF(INDEX('Shopping List'!$M$5:$M$316,MATCH($A83,'Shopping List'!$O$5:$O$316,0))="","",INDEX('Shopping List'!$M$5:$M$316,MATCH($A83,'Shopping List'!$O$5:$O$316,0))),"")</f>
        <v/>
      </c>
      <c r="J83" s="53" t="str">
        <f aca="false">IFERROR(IF(INDEX('Shopping List'!$N$5:$N$316,MATCH($A83,'Shopping List'!$O$5:$O$316,0))="","",INDEX('Shopping List'!$N$5:$N$316,MATCH($A83,'Shopping List'!$O$5:$O$316,0))),"")</f>
        <v/>
      </c>
    </row>
    <row r="84" customFormat="false" ht="15" hidden="false" customHeight="false" outlineLevel="0" collapsed="false">
      <c r="A84" s="52" t="n">
        <v>77</v>
      </c>
      <c r="B84" s="53" t="str">
        <f aca="false">IFERROR(IF(INDEX('Shopping List'!$D$5:$D$316,MATCH($A84,'Shopping List'!$O$5:$O$316,0))="","",INDEX('Shopping List'!$D$5:$D$316,MATCH($A84,'Shopping List'!$O$5:$O$316,0))),"")</f>
        <v/>
      </c>
      <c r="C84" s="53" t="str">
        <f aca="false">IFERROR(IF(INDEX('Shopping List'!$E$5:$E$316,MATCH($A84,'Shopping List'!$O$5:$O$316,0))="","",INDEX('Shopping List'!$E$5:$E$316,MATCH($A84,'Shopping List'!$O$5:$O$316,0))),"")</f>
        <v/>
      </c>
      <c r="D84" s="53" t="str">
        <f aca="false">IFERROR(IF(INDEX('Shopping List'!$F$5:$F$316,MATCH($A84,'Shopping List'!$O$5:$O$316,0))="","",INDEX('Shopping List'!$F$5:$F$316,MATCH($A84,'Shopping List'!$O$5:$O$316,0))),"")</f>
        <v/>
      </c>
      <c r="E84" s="46" t="str">
        <f aca="false">IFERROR(IF(INDEX('Shopping List'!$G$5:$G$316,MATCH($A84,'Shopping List'!$O$5:$O$316,0))="","",INDEX('Shopping List'!$G$5:$G$316,MATCH($A84,'Shopping List'!$O$5:$O$316,0))),"")</f>
        <v/>
      </c>
      <c r="F84" s="46" t="str">
        <f aca="false">IFERROR(IF(INDEX('Shopping List'!$H$5:$H$316,MATCH($A84,'Shopping List'!$O$5:$O$316,0))="","",INDEX('Shopping List'!$H$5:$H$316,MATCH($A84,'Shopping List'!$O$5:$O$316,0))),"")</f>
        <v/>
      </c>
      <c r="G84" s="54" t="str">
        <f aca="false">IFERROR(IF(INDEX('Shopping List'!$I$5:$I$316,MATCH($A84,'Shopping List'!$O$5:$O$316,0))="","",INDEX('Shopping List'!$I$5:$I$316,MATCH($A84,'Shopping List'!$O$5:$O$316,0))),"")</f>
        <v/>
      </c>
      <c r="H84" s="46" t="str">
        <f aca="false">IFERROR(IF(INDEX('Shopping List'!$L$5:$L$316,MATCH($A84,'Shopping List'!$O$5:$O$316,0))="","",INDEX('Shopping List'!$L$5:$L$316,MATCH($A84,'Shopping List'!$O$5:$O$316,0))),"")</f>
        <v/>
      </c>
      <c r="I84" s="46" t="str">
        <f aca="false">IFERROR(IF(INDEX('Shopping List'!$M$5:$M$316,MATCH($A84,'Shopping List'!$O$5:$O$316,0))="","",INDEX('Shopping List'!$M$5:$M$316,MATCH($A84,'Shopping List'!$O$5:$O$316,0))),"")</f>
        <v/>
      </c>
      <c r="J84" s="53" t="str">
        <f aca="false">IFERROR(IF(INDEX('Shopping List'!$N$5:$N$316,MATCH($A84,'Shopping List'!$O$5:$O$316,0))="","",INDEX('Shopping List'!$N$5:$N$316,MATCH($A84,'Shopping List'!$O$5:$O$316,0))),"")</f>
        <v/>
      </c>
    </row>
    <row r="85" customFormat="false" ht="15" hidden="false" customHeight="false" outlineLevel="0" collapsed="false">
      <c r="A85" s="52" t="n">
        <v>78</v>
      </c>
      <c r="B85" s="53" t="str">
        <f aca="false">IFERROR(IF(INDEX('Shopping List'!$D$5:$D$316,MATCH($A85,'Shopping List'!$O$5:$O$316,0))="","",INDEX('Shopping List'!$D$5:$D$316,MATCH($A85,'Shopping List'!$O$5:$O$316,0))),"")</f>
        <v/>
      </c>
      <c r="C85" s="53" t="str">
        <f aca="false">IFERROR(IF(INDEX('Shopping List'!$E$5:$E$316,MATCH($A85,'Shopping List'!$O$5:$O$316,0))="","",INDEX('Shopping List'!$E$5:$E$316,MATCH($A85,'Shopping List'!$O$5:$O$316,0))),"")</f>
        <v/>
      </c>
      <c r="D85" s="53" t="str">
        <f aca="false">IFERROR(IF(INDEX('Shopping List'!$F$5:$F$316,MATCH($A85,'Shopping List'!$O$5:$O$316,0))="","",INDEX('Shopping List'!$F$5:$F$316,MATCH($A85,'Shopping List'!$O$5:$O$316,0))),"")</f>
        <v/>
      </c>
      <c r="E85" s="46" t="str">
        <f aca="false">IFERROR(IF(INDEX('Shopping List'!$G$5:$G$316,MATCH($A85,'Shopping List'!$O$5:$O$316,0))="","",INDEX('Shopping List'!$G$5:$G$316,MATCH($A85,'Shopping List'!$O$5:$O$316,0))),"")</f>
        <v/>
      </c>
      <c r="F85" s="46" t="str">
        <f aca="false">IFERROR(IF(INDEX('Shopping List'!$H$5:$H$316,MATCH($A85,'Shopping List'!$O$5:$O$316,0))="","",INDEX('Shopping List'!$H$5:$H$316,MATCH($A85,'Shopping List'!$O$5:$O$316,0))),"")</f>
        <v/>
      </c>
      <c r="G85" s="54" t="str">
        <f aca="false">IFERROR(IF(INDEX('Shopping List'!$I$5:$I$316,MATCH($A85,'Shopping List'!$O$5:$O$316,0))="","",INDEX('Shopping List'!$I$5:$I$316,MATCH($A85,'Shopping List'!$O$5:$O$316,0))),"")</f>
        <v/>
      </c>
      <c r="H85" s="46" t="str">
        <f aca="false">IFERROR(IF(INDEX('Shopping List'!$L$5:$L$316,MATCH($A85,'Shopping List'!$O$5:$O$316,0))="","",INDEX('Shopping List'!$L$5:$L$316,MATCH($A85,'Shopping List'!$O$5:$O$316,0))),"")</f>
        <v/>
      </c>
      <c r="I85" s="46" t="str">
        <f aca="false">IFERROR(IF(INDEX('Shopping List'!$M$5:$M$316,MATCH($A85,'Shopping List'!$O$5:$O$316,0))="","",INDEX('Shopping List'!$M$5:$M$316,MATCH($A85,'Shopping List'!$O$5:$O$316,0))),"")</f>
        <v/>
      </c>
      <c r="J85" s="53" t="str">
        <f aca="false">IFERROR(IF(INDEX('Shopping List'!$N$5:$N$316,MATCH($A85,'Shopping List'!$O$5:$O$316,0))="","",INDEX('Shopping List'!$N$5:$N$316,MATCH($A85,'Shopping List'!$O$5:$O$316,0))),"")</f>
        <v/>
      </c>
    </row>
    <row r="86" customFormat="false" ht="15" hidden="false" customHeight="false" outlineLevel="0" collapsed="false">
      <c r="A86" s="52" t="n">
        <v>79</v>
      </c>
      <c r="B86" s="53" t="str">
        <f aca="false">IFERROR(IF(INDEX('Shopping List'!$D$5:$D$316,MATCH($A86,'Shopping List'!$O$5:$O$316,0))="","",INDEX('Shopping List'!$D$5:$D$316,MATCH($A86,'Shopping List'!$O$5:$O$316,0))),"")</f>
        <v/>
      </c>
      <c r="C86" s="53" t="str">
        <f aca="false">IFERROR(IF(INDEX('Shopping List'!$E$5:$E$316,MATCH($A86,'Shopping List'!$O$5:$O$316,0))="","",INDEX('Shopping List'!$E$5:$E$316,MATCH($A86,'Shopping List'!$O$5:$O$316,0))),"")</f>
        <v/>
      </c>
      <c r="D86" s="53" t="str">
        <f aca="false">IFERROR(IF(INDEX('Shopping List'!$F$5:$F$316,MATCH($A86,'Shopping List'!$O$5:$O$316,0))="","",INDEX('Shopping List'!$F$5:$F$316,MATCH($A86,'Shopping List'!$O$5:$O$316,0))),"")</f>
        <v/>
      </c>
      <c r="E86" s="46" t="str">
        <f aca="false">IFERROR(IF(INDEX('Shopping List'!$G$5:$G$316,MATCH($A86,'Shopping List'!$O$5:$O$316,0))="","",INDEX('Shopping List'!$G$5:$G$316,MATCH($A86,'Shopping List'!$O$5:$O$316,0))),"")</f>
        <v/>
      </c>
      <c r="F86" s="46" t="str">
        <f aca="false">IFERROR(IF(INDEX('Shopping List'!$H$5:$H$316,MATCH($A86,'Shopping List'!$O$5:$O$316,0))="","",INDEX('Shopping List'!$H$5:$H$316,MATCH($A86,'Shopping List'!$O$5:$O$316,0))),"")</f>
        <v/>
      </c>
      <c r="G86" s="54" t="str">
        <f aca="false">IFERROR(IF(INDEX('Shopping List'!$I$5:$I$316,MATCH($A86,'Shopping List'!$O$5:$O$316,0))="","",INDEX('Shopping List'!$I$5:$I$316,MATCH($A86,'Shopping List'!$O$5:$O$316,0))),"")</f>
        <v/>
      </c>
      <c r="H86" s="46" t="str">
        <f aca="false">IFERROR(IF(INDEX('Shopping List'!$L$5:$L$316,MATCH($A86,'Shopping List'!$O$5:$O$316,0))="","",INDEX('Shopping List'!$L$5:$L$316,MATCH($A86,'Shopping List'!$O$5:$O$316,0))),"")</f>
        <v/>
      </c>
      <c r="I86" s="46" t="str">
        <f aca="false">IFERROR(IF(INDEX('Shopping List'!$M$5:$M$316,MATCH($A86,'Shopping List'!$O$5:$O$316,0))="","",INDEX('Shopping List'!$M$5:$M$316,MATCH($A86,'Shopping List'!$O$5:$O$316,0))),"")</f>
        <v/>
      </c>
      <c r="J86" s="53" t="str">
        <f aca="false">IFERROR(IF(INDEX('Shopping List'!$N$5:$N$316,MATCH($A86,'Shopping List'!$O$5:$O$316,0))="","",INDEX('Shopping List'!$N$5:$N$316,MATCH($A86,'Shopping List'!$O$5:$O$316,0))),"")</f>
        <v/>
      </c>
    </row>
    <row r="87" customFormat="false" ht="15" hidden="false" customHeight="false" outlineLevel="0" collapsed="false">
      <c r="A87" s="52" t="n">
        <v>80</v>
      </c>
      <c r="B87" s="53" t="str">
        <f aca="false">IFERROR(IF(INDEX('Shopping List'!$D$5:$D$316,MATCH($A87,'Shopping List'!$O$5:$O$316,0))="","",INDEX('Shopping List'!$D$5:$D$316,MATCH($A87,'Shopping List'!$O$5:$O$316,0))),"")</f>
        <v/>
      </c>
      <c r="C87" s="53" t="str">
        <f aca="false">IFERROR(IF(INDEX('Shopping List'!$E$5:$E$316,MATCH($A87,'Shopping List'!$O$5:$O$316,0))="","",INDEX('Shopping List'!$E$5:$E$316,MATCH($A87,'Shopping List'!$O$5:$O$316,0))),"")</f>
        <v/>
      </c>
      <c r="D87" s="53" t="str">
        <f aca="false">IFERROR(IF(INDEX('Shopping List'!$F$5:$F$316,MATCH($A87,'Shopping List'!$O$5:$O$316,0))="","",INDEX('Shopping List'!$F$5:$F$316,MATCH($A87,'Shopping List'!$O$5:$O$316,0))),"")</f>
        <v/>
      </c>
      <c r="E87" s="46" t="str">
        <f aca="false">IFERROR(IF(INDEX('Shopping List'!$G$5:$G$316,MATCH($A87,'Shopping List'!$O$5:$O$316,0))="","",INDEX('Shopping List'!$G$5:$G$316,MATCH($A87,'Shopping List'!$O$5:$O$316,0))),"")</f>
        <v/>
      </c>
      <c r="F87" s="46" t="str">
        <f aca="false">IFERROR(IF(INDEX('Shopping List'!$H$5:$H$316,MATCH($A87,'Shopping List'!$O$5:$O$316,0))="","",INDEX('Shopping List'!$H$5:$H$316,MATCH($A87,'Shopping List'!$O$5:$O$316,0))),"")</f>
        <v/>
      </c>
      <c r="G87" s="54" t="str">
        <f aca="false">IFERROR(IF(INDEX('Shopping List'!$I$5:$I$316,MATCH($A87,'Shopping List'!$O$5:$O$316,0))="","",INDEX('Shopping List'!$I$5:$I$316,MATCH($A87,'Shopping List'!$O$5:$O$316,0))),"")</f>
        <v/>
      </c>
      <c r="H87" s="46" t="str">
        <f aca="false">IFERROR(IF(INDEX('Shopping List'!$L$5:$L$316,MATCH($A87,'Shopping List'!$O$5:$O$316,0))="","",INDEX('Shopping List'!$L$5:$L$316,MATCH($A87,'Shopping List'!$O$5:$O$316,0))),"")</f>
        <v/>
      </c>
      <c r="I87" s="46" t="str">
        <f aca="false">IFERROR(IF(INDEX('Shopping List'!$M$5:$M$316,MATCH($A87,'Shopping List'!$O$5:$O$316,0))="","",INDEX('Shopping List'!$M$5:$M$316,MATCH($A87,'Shopping List'!$O$5:$O$316,0))),"")</f>
        <v/>
      </c>
      <c r="J87" s="53" t="str">
        <f aca="false">IFERROR(IF(INDEX('Shopping List'!$N$5:$N$316,MATCH($A87,'Shopping List'!$O$5:$O$316,0))="","",INDEX('Shopping List'!$N$5:$N$316,MATCH($A87,'Shopping List'!$O$5:$O$316,0))),"")</f>
        <v/>
      </c>
    </row>
  </sheetData>
  <mergeCells count="1">
    <mergeCell ref="C4:E4"/>
  </mergeCells>
  <conditionalFormatting sqref="I8:I87">
    <cfRule type="cellIs" priority="2" operator="equal" aboveAverage="0" equalAverage="0" bottom="0" percent="0" rank="0" text="" dxfId="31">
      <formula>"Received"</formula>
    </cfRule>
  </conditionalFormatting>
  <dataValidations count="1">
    <dataValidation allowBlank="true" errorStyle="stop" operator="between" showDropDown="false" showErrorMessage="false" showInputMessage="false" sqref="C4" type="list">
      <formula1>Rooms!$A$5:$A$47</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8C9A"/>
    <pageSetUpPr fitToPage="false"/>
  </sheetPr>
  <dimension ref="A1:H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9"/>
    <col collapsed="false" customWidth="true" hidden="false" outlineLevel="0" max="4" min="3" style="0" width="13"/>
    <col collapsed="false" customWidth="true" hidden="false" outlineLevel="0" max="5" min="5" style="0" width="8"/>
    <col collapsed="false" customWidth="true" hidden="false" outlineLevel="0" max="6" min="6" style="0" width="14"/>
    <col collapsed="false" customWidth="true" hidden="false" outlineLevel="0" max="7" min="7" style="0" width="10"/>
    <col collapsed="false" customWidth="true" hidden="false" outlineLevel="0" max="8" min="8" style="0" width="46"/>
  </cols>
  <sheetData>
    <row r="1" customFormat="false" ht="18.55" hidden="false" customHeight="false" outlineLevel="0" collapsed="false">
      <c r="A1" s="37" t="s">
        <v>12</v>
      </c>
    </row>
    <row r="2" customFormat="false" ht="15" hidden="false" customHeight="false" outlineLevel="0" collapsed="false">
      <c r="A2" s="2" t="s">
        <v>692</v>
      </c>
    </row>
    <row r="4" customFormat="false" ht="30" hidden="false" customHeight="true" outlineLevel="0" collapsed="false">
      <c r="A4" s="38" t="s">
        <v>47</v>
      </c>
      <c r="B4" s="38" t="s">
        <v>693</v>
      </c>
      <c r="C4" s="38" t="s">
        <v>694</v>
      </c>
      <c r="D4" s="38" t="s">
        <v>695</v>
      </c>
      <c r="E4" s="38" t="s">
        <v>33</v>
      </c>
      <c r="F4" s="38" t="s">
        <v>27</v>
      </c>
      <c r="G4" s="38" t="s">
        <v>35</v>
      </c>
      <c r="H4" s="38" t="s">
        <v>57</v>
      </c>
    </row>
    <row r="5" customFormat="false" ht="15" hidden="false" customHeight="false" outlineLevel="0" collapsed="false">
      <c r="A5" s="11" t="s">
        <v>60</v>
      </c>
      <c r="B5" s="11" t="s">
        <v>696</v>
      </c>
      <c r="C5" s="55" t="n">
        <v>4</v>
      </c>
      <c r="D5" s="55"/>
      <c r="E5" s="11" t="n">
        <f aca="false">COUNTIF('Shopping List'!$B$5:$B$316,A5)</f>
        <v>2</v>
      </c>
      <c r="F5" s="20" t="n">
        <f aca="false">SUMIFS('Shopping List'!$J$5:$J$316,'Shopping List'!$B$5:$B$316,A5)</f>
        <v>0</v>
      </c>
      <c r="G5" s="11" t="str">
        <f aca="false">COUNTIFS('Shopping List'!$B$5:$B$316,A5,'Shopping List'!$M$5:$M$316,"Received")&amp;" / "&amp;E5</f>
        <v>0 / 2</v>
      </c>
      <c r="H5" s="56" t="s">
        <v>697</v>
      </c>
    </row>
    <row r="6" customFormat="false" ht="15" hidden="false" customHeight="false" outlineLevel="0" collapsed="false">
      <c r="A6" s="11" t="s">
        <v>69</v>
      </c>
      <c r="B6" s="11" t="s">
        <v>696</v>
      </c>
      <c r="C6" s="55" t="n">
        <v>45</v>
      </c>
      <c r="D6" s="55"/>
      <c r="E6" s="11" t="n">
        <f aca="false">COUNTIF('Shopping List'!$B$5:$B$316,A6)</f>
        <v>1</v>
      </c>
      <c r="F6" s="20" t="n">
        <f aca="false">SUMIFS('Shopping List'!$J$5:$J$316,'Shopping List'!$B$5:$B$316,A6)</f>
        <v>0</v>
      </c>
      <c r="G6" s="11" t="str">
        <f aca="false">COUNTIFS('Shopping List'!$B$5:$B$316,A6,'Shopping List'!$M$5:$M$316,"Received")&amp;" / "&amp;E6</f>
        <v>0 / 1</v>
      </c>
      <c r="H6" s="56" t="s">
        <v>698</v>
      </c>
    </row>
    <row r="7" customFormat="false" ht="15" hidden="false" customHeight="false" outlineLevel="0" collapsed="false">
      <c r="A7" s="11" t="s">
        <v>71</v>
      </c>
      <c r="B7" s="11" t="s">
        <v>696</v>
      </c>
      <c r="C7" s="55" t="n">
        <v>28.2</v>
      </c>
      <c r="D7" s="55"/>
      <c r="E7" s="11" t="n">
        <f aca="false">COUNTIF('Shopping List'!$B$5:$B$316,A7)</f>
        <v>8</v>
      </c>
      <c r="F7" s="20" t="n">
        <f aca="false">SUMIFS('Shopping List'!$J$5:$J$316,'Shopping List'!$B$5:$B$316,A7)</f>
        <v>0</v>
      </c>
      <c r="G7" s="11" t="str">
        <f aca="false">COUNTIFS('Shopping List'!$B$5:$B$316,A7,'Shopping List'!$M$5:$M$316,"Received")&amp;" / "&amp;E7</f>
        <v>0 / 8</v>
      </c>
      <c r="H7" s="56" t="s">
        <v>699</v>
      </c>
    </row>
    <row r="8" customFormat="false" ht="15" hidden="false" customHeight="false" outlineLevel="0" collapsed="false">
      <c r="A8" s="11" t="s">
        <v>73</v>
      </c>
      <c r="B8" s="11" t="s">
        <v>696</v>
      </c>
      <c r="C8" s="55" t="n">
        <v>28.8</v>
      </c>
      <c r="D8" s="55"/>
      <c r="E8" s="11" t="n">
        <f aca="false">COUNTIF('Shopping List'!$B$5:$B$316,A8)</f>
        <v>7</v>
      </c>
      <c r="F8" s="20" t="n">
        <f aca="false">SUMIFS('Shopping List'!$J$5:$J$316,'Shopping List'!$B$5:$B$316,A8)</f>
        <v>0</v>
      </c>
      <c r="G8" s="11" t="str">
        <f aca="false">COUNTIFS('Shopping List'!$B$5:$B$316,A8,'Shopping List'!$M$5:$M$316,"Received")&amp;" / "&amp;E8</f>
        <v>0 / 7</v>
      </c>
      <c r="H8" s="56" t="s">
        <v>700</v>
      </c>
    </row>
    <row r="9" customFormat="false" ht="15" hidden="false" customHeight="false" outlineLevel="0" collapsed="false">
      <c r="A9" s="11" t="s">
        <v>75</v>
      </c>
      <c r="B9" s="11" t="s">
        <v>696</v>
      </c>
      <c r="C9" s="55" t="n">
        <v>22</v>
      </c>
      <c r="D9" s="55" t="n">
        <v>6</v>
      </c>
      <c r="E9" s="11" t="n">
        <f aca="false">COUNTIF('Shopping List'!$B$5:$B$316,A9)</f>
        <v>17</v>
      </c>
      <c r="F9" s="20" t="n">
        <f aca="false">SUMIFS('Shopping List'!$J$5:$J$316,'Shopping List'!$B$5:$B$316,A9)</f>
        <v>0</v>
      </c>
      <c r="G9" s="11" t="str">
        <f aca="false">COUNTIFS('Shopping List'!$B$5:$B$316,A9,'Shopping List'!$M$5:$M$316,"Received")&amp;" / "&amp;E9</f>
        <v>0 / 17</v>
      </c>
      <c r="H9" s="56" t="s">
        <v>701</v>
      </c>
    </row>
    <row r="10" customFormat="false" ht="15" hidden="false" customHeight="false" outlineLevel="0" collapsed="false">
      <c r="A10" s="11" t="s">
        <v>82</v>
      </c>
      <c r="B10" s="11" t="s">
        <v>696</v>
      </c>
      <c r="C10" s="55" t="n">
        <v>6.5</v>
      </c>
      <c r="D10" s="55"/>
      <c r="E10" s="11" t="n">
        <f aca="false">COUNTIF('Shopping List'!$B$5:$B$316,A10)</f>
        <v>2</v>
      </c>
      <c r="F10" s="20" t="n">
        <f aca="false">SUMIFS('Shopping List'!$J$5:$J$316,'Shopping List'!$B$5:$B$316,A10)</f>
        <v>0</v>
      </c>
      <c r="G10" s="11" t="str">
        <f aca="false">COUNTIFS('Shopping List'!$B$5:$B$316,A10,'Shopping List'!$M$5:$M$316,"Received")&amp;" / "&amp;E10</f>
        <v>0 / 2</v>
      </c>
      <c r="H10" s="56" t="s">
        <v>702</v>
      </c>
    </row>
    <row r="11" customFormat="false" ht="15" hidden="false" customHeight="false" outlineLevel="0" collapsed="false">
      <c r="A11" s="11" t="s">
        <v>84</v>
      </c>
      <c r="B11" s="11" t="s">
        <v>696</v>
      </c>
      <c r="C11" s="55" t="n">
        <v>5.7</v>
      </c>
      <c r="D11" s="55"/>
      <c r="E11" s="11" t="n">
        <f aca="false">COUNTIF('Shopping List'!$B$5:$B$316,A11)</f>
        <v>1</v>
      </c>
      <c r="F11" s="20" t="n">
        <f aca="false">SUMIFS('Shopping List'!$J$5:$J$316,'Shopping List'!$B$5:$B$316,A11)</f>
        <v>0</v>
      </c>
      <c r="G11" s="11" t="str">
        <f aca="false">COUNTIFS('Shopping List'!$B$5:$B$316,A11,'Shopping List'!$M$5:$M$316,"Received")&amp;" / "&amp;E11</f>
        <v>0 / 1</v>
      </c>
      <c r="H11" s="56" t="s">
        <v>703</v>
      </c>
    </row>
    <row r="12" customFormat="false" ht="15" hidden="false" customHeight="false" outlineLevel="0" collapsed="false">
      <c r="A12" s="11" t="s">
        <v>86</v>
      </c>
      <c r="B12" s="11" t="s">
        <v>696</v>
      </c>
      <c r="C12" s="55" t="n">
        <v>7.9</v>
      </c>
      <c r="D12" s="55"/>
      <c r="E12" s="11" t="n">
        <f aca="false">COUNTIF('Shopping List'!$B$5:$B$316,A12)</f>
        <v>1</v>
      </c>
      <c r="F12" s="20" t="n">
        <f aca="false">SUMIFS('Shopping List'!$J$5:$J$316,'Shopping List'!$B$5:$B$316,A12)</f>
        <v>0</v>
      </c>
      <c r="G12" s="11" t="str">
        <f aca="false">COUNTIFS('Shopping List'!$B$5:$B$316,A12,'Shopping List'!$M$5:$M$316,"Received")&amp;" / "&amp;E12</f>
        <v>0 / 1</v>
      </c>
      <c r="H12" s="56"/>
    </row>
    <row r="13" customFormat="false" ht="15" hidden="false" customHeight="false" outlineLevel="0" collapsed="false">
      <c r="A13" s="11" t="s">
        <v>88</v>
      </c>
      <c r="B13" s="11" t="s">
        <v>696</v>
      </c>
      <c r="C13" s="55" t="n">
        <v>8.5</v>
      </c>
      <c r="D13" s="55"/>
      <c r="E13" s="11" t="n">
        <f aca="false">COUNTIF('Shopping List'!$B$5:$B$316,A13)</f>
        <v>1</v>
      </c>
      <c r="F13" s="20" t="n">
        <f aca="false">SUMIFS('Shopping List'!$J$5:$J$316,'Shopping List'!$B$5:$B$316,A13)</f>
        <v>0</v>
      </c>
      <c r="G13" s="11" t="str">
        <f aca="false">COUNTIFS('Shopping List'!$B$5:$B$316,A13,'Shopping List'!$M$5:$M$316,"Received")&amp;" / "&amp;E13</f>
        <v>0 / 1</v>
      </c>
      <c r="H13" s="56"/>
    </row>
    <row r="14" customFormat="false" ht="15" hidden="false" customHeight="false" outlineLevel="0" collapsed="false">
      <c r="A14" s="11" t="s">
        <v>90</v>
      </c>
      <c r="B14" s="11" t="s">
        <v>696</v>
      </c>
      <c r="C14" s="55" t="n">
        <v>16.2</v>
      </c>
      <c r="D14" s="55"/>
      <c r="E14" s="11" t="n">
        <f aca="false">COUNTIF('Shopping List'!$B$5:$B$316,A14)</f>
        <v>1</v>
      </c>
      <c r="F14" s="20" t="n">
        <f aca="false">SUMIFS('Shopping List'!$J$5:$J$316,'Shopping List'!$B$5:$B$316,A14)</f>
        <v>0</v>
      </c>
      <c r="G14" s="11" t="str">
        <f aca="false">COUNTIFS('Shopping List'!$B$5:$B$316,A14,'Shopping List'!$M$5:$M$316,"Received")&amp;" / "&amp;E14</f>
        <v>0 / 1</v>
      </c>
      <c r="H14" s="56" t="s">
        <v>704</v>
      </c>
    </row>
    <row r="15" customFormat="false" ht="15" hidden="false" customHeight="false" outlineLevel="0" collapsed="false">
      <c r="A15" s="11" t="s">
        <v>92</v>
      </c>
      <c r="B15" s="11" t="s">
        <v>696</v>
      </c>
      <c r="C15" s="55" t="n">
        <v>6.2</v>
      </c>
      <c r="D15" s="55" t="n">
        <v>26.9</v>
      </c>
      <c r="E15" s="11" t="n">
        <f aca="false">COUNTIF('Shopping List'!$B$5:$B$316,A15)</f>
        <v>12</v>
      </c>
      <c r="F15" s="20" t="n">
        <f aca="false">SUMIFS('Shopping List'!$J$5:$J$316,'Shopping List'!$B$5:$B$316,A15)</f>
        <v>0</v>
      </c>
      <c r="G15" s="11" t="str">
        <f aca="false">COUNTIFS('Shopping List'!$B$5:$B$316,A15,'Shopping List'!$M$5:$M$316,"Received")&amp;" / "&amp;E15</f>
        <v>0 / 12</v>
      </c>
      <c r="H15" s="56" t="s">
        <v>705</v>
      </c>
    </row>
    <row r="16" customFormat="false" ht="15" hidden="false" customHeight="false" outlineLevel="0" collapsed="false">
      <c r="A16" s="11" t="s">
        <v>102</v>
      </c>
      <c r="B16" s="11" t="s">
        <v>696</v>
      </c>
      <c r="C16" s="55" t="n">
        <v>2.5</v>
      </c>
      <c r="D16" s="55" t="n">
        <v>14.8</v>
      </c>
      <c r="E16" s="11" t="n">
        <f aca="false">COUNTIF('Shopping List'!$B$5:$B$316,A16)</f>
        <v>9</v>
      </c>
      <c r="F16" s="20" t="n">
        <f aca="false">SUMIFS('Shopping List'!$J$5:$J$316,'Shopping List'!$B$5:$B$316,A16)</f>
        <v>0</v>
      </c>
      <c r="G16" s="11" t="str">
        <f aca="false">COUNTIFS('Shopping List'!$B$5:$B$316,A16,'Shopping List'!$M$5:$M$316,"Received")&amp;" / "&amp;E16</f>
        <v>0 / 9</v>
      </c>
      <c r="H16" s="56" t="s">
        <v>706</v>
      </c>
    </row>
    <row r="17" customFormat="false" ht="15" hidden="false" customHeight="false" outlineLevel="0" collapsed="false">
      <c r="A17" s="11" t="s">
        <v>105</v>
      </c>
      <c r="B17" s="11" t="s">
        <v>696</v>
      </c>
      <c r="C17" s="55" t="n">
        <v>9</v>
      </c>
      <c r="D17" s="55"/>
      <c r="E17" s="11" t="n">
        <f aca="false">COUNTIF('Shopping List'!$B$5:$B$316,A17)</f>
        <v>1</v>
      </c>
      <c r="F17" s="20" t="n">
        <f aca="false">SUMIFS('Shopping List'!$J$5:$J$316,'Shopping List'!$B$5:$B$316,A17)</f>
        <v>0</v>
      </c>
      <c r="G17" s="11" t="str">
        <f aca="false">COUNTIFS('Shopping List'!$B$5:$B$316,A17,'Shopping List'!$M$5:$M$316,"Received")&amp;" / "&amp;E17</f>
        <v>0 / 1</v>
      </c>
      <c r="H17" s="56" t="s">
        <v>707</v>
      </c>
    </row>
    <row r="18" customFormat="false" ht="15" hidden="false" customHeight="false" outlineLevel="0" collapsed="false">
      <c r="A18" s="11" t="s">
        <v>111</v>
      </c>
      <c r="B18" s="11" t="s">
        <v>696</v>
      </c>
      <c r="C18" s="55" t="n">
        <v>31.4</v>
      </c>
      <c r="D18" s="55"/>
      <c r="E18" s="11" t="n">
        <f aca="false">COUNTIF('Shopping List'!$B$5:$B$316,A18)</f>
        <v>1</v>
      </c>
      <c r="F18" s="20" t="n">
        <f aca="false">SUMIFS('Shopping List'!$J$5:$J$316,'Shopping List'!$B$5:$B$316,A18)</f>
        <v>0</v>
      </c>
      <c r="G18" s="11" t="str">
        <f aca="false">COUNTIFS('Shopping List'!$B$5:$B$316,A18,'Shopping List'!$M$5:$M$316,"Received")&amp;" / "&amp;E18</f>
        <v>0 / 1</v>
      </c>
      <c r="H18" s="56" t="s">
        <v>708</v>
      </c>
    </row>
    <row r="19" customFormat="false" ht="15" hidden="false" customHeight="false" outlineLevel="0" collapsed="false">
      <c r="A19" s="11" t="s">
        <v>113</v>
      </c>
      <c r="B19" s="11" t="s">
        <v>696</v>
      </c>
      <c r="C19" s="55"/>
      <c r="D19" s="55"/>
      <c r="E19" s="11" t="n">
        <f aca="false">COUNTIF('Shopping List'!$B$5:$B$316,A19)</f>
        <v>3</v>
      </c>
      <c r="F19" s="20" t="n">
        <f aca="false">SUMIFS('Shopping List'!$J$5:$J$316,'Shopping List'!$B$5:$B$316,A19)</f>
        <v>0</v>
      </c>
      <c r="G19" s="11" t="str">
        <f aca="false">COUNTIFS('Shopping List'!$B$5:$B$316,A19,'Shopping List'!$M$5:$M$316,"Received")&amp;" / "&amp;E19</f>
        <v>0 / 3</v>
      </c>
      <c r="H19" s="56" t="s">
        <v>709</v>
      </c>
    </row>
    <row r="20" customFormat="false" ht="15" hidden="false" customHeight="false" outlineLevel="0" collapsed="false">
      <c r="A20" s="11" t="s">
        <v>129</v>
      </c>
      <c r="B20" s="11" t="s">
        <v>710</v>
      </c>
      <c r="C20" s="55" t="n">
        <v>35</v>
      </c>
      <c r="D20" s="55"/>
      <c r="E20" s="11" t="n">
        <f aca="false">COUNTIF('Shopping List'!$B$5:$B$316,A20)</f>
        <v>1</v>
      </c>
      <c r="F20" s="20" t="n">
        <f aca="false">SUMIFS('Shopping List'!$J$5:$J$316,'Shopping List'!$B$5:$B$316,A20)</f>
        <v>0</v>
      </c>
      <c r="G20" s="11" t="str">
        <f aca="false">COUNTIFS('Shopping List'!$B$5:$B$316,A20,'Shopping List'!$M$5:$M$316,"Received")&amp;" / "&amp;E20</f>
        <v>0 / 1</v>
      </c>
      <c r="H20" s="56"/>
    </row>
    <row r="21" customFormat="false" ht="15" hidden="false" customHeight="false" outlineLevel="0" collapsed="false">
      <c r="A21" s="11" t="s">
        <v>131</v>
      </c>
      <c r="B21" s="11" t="s">
        <v>710</v>
      </c>
      <c r="C21" s="55" t="n">
        <v>28.2</v>
      </c>
      <c r="D21" s="55"/>
      <c r="E21" s="11" t="n">
        <f aca="false">COUNTIF('Shopping List'!$B$5:$B$316,A21)</f>
        <v>11</v>
      </c>
      <c r="F21" s="20" t="n">
        <f aca="false">SUMIFS('Shopping List'!$J$5:$J$316,'Shopping List'!$B$5:$B$316,A21)</f>
        <v>0</v>
      </c>
      <c r="G21" s="11" t="str">
        <f aca="false">COUNTIFS('Shopping List'!$B$5:$B$316,A21,'Shopping List'!$M$5:$M$316,"Received")&amp;" / "&amp;E21</f>
        <v>0 / 11</v>
      </c>
      <c r="H21" s="56" t="s">
        <v>711</v>
      </c>
    </row>
    <row r="22" customFormat="false" ht="15" hidden="false" customHeight="false" outlineLevel="0" collapsed="false">
      <c r="A22" s="11" t="s">
        <v>133</v>
      </c>
      <c r="B22" s="11" t="s">
        <v>710</v>
      </c>
      <c r="C22" s="55" t="n">
        <v>8.6</v>
      </c>
      <c r="D22" s="55" t="n">
        <v>29.1</v>
      </c>
      <c r="E22" s="11" t="n">
        <f aca="false">COUNTIF('Shopping List'!$B$5:$B$316,A22)</f>
        <v>13</v>
      </c>
      <c r="F22" s="20" t="n">
        <f aca="false">SUMIFS('Shopping List'!$J$5:$J$316,'Shopping List'!$B$5:$B$316,A22)</f>
        <v>0</v>
      </c>
      <c r="G22" s="11" t="str">
        <f aca="false">COUNTIFS('Shopping List'!$B$5:$B$316,A22,'Shopping List'!$M$5:$M$316,"Received")&amp;" / "&amp;E22</f>
        <v>0 / 13</v>
      </c>
      <c r="H22" s="56" t="s">
        <v>712</v>
      </c>
    </row>
    <row r="23" customFormat="false" ht="15" hidden="false" customHeight="false" outlineLevel="0" collapsed="false">
      <c r="A23" s="11" t="s">
        <v>136</v>
      </c>
      <c r="B23" s="11" t="s">
        <v>710</v>
      </c>
      <c r="C23" s="55" t="n">
        <v>9</v>
      </c>
      <c r="D23" s="55"/>
      <c r="E23" s="11" t="n">
        <f aca="false">COUNTIF('Shopping List'!$B$5:$B$316,A23)</f>
        <v>2</v>
      </c>
      <c r="F23" s="20" t="n">
        <f aca="false">SUMIFS('Shopping List'!$J$5:$J$316,'Shopping List'!$B$5:$B$316,A23)</f>
        <v>0</v>
      </c>
      <c r="G23" s="11" t="str">
        <f aca="false">COUNTIFS('Shopping List'!$B$5:$B$316,A23,'Shopping List'!$M$5:$M$316,"Received")&amp;" / "&amp;E23</f>
        <v>0 / 2</v>
      </c>
      <c r="H23" s="56" t="s">
        <v>713</v>
      </c>
    </row>
    <row r="24" customFormat="false" ht="15" hidden="false" customHeight="false" outlineLevel="0" collapsed="false">
      <c r="A24" s="11" t="s">
        <v>138</v>
      </c>
      <c r="B24" s="11" t="s">
        <v>710</v>
      </c>
      <c r="C24" s="55" t="n">
        <v>16.7</v>
      </c>
      <c r="D24" s="55"/>
      <c r="E24" s="11" t="n">
        <f aca="false">COUNTIF('Shopping List'!$B$5:$B$316,A24)</f>
        <v>1</v>
      </c>
      <c r="F24" s="20" t="n">
        <f aca="false">SUMIFS('Shopping List'!$J$5:$J$316,'Shopping List'!$B$5:$B$316,A24)</f>
        <v>0</v>
      </c>
      <c r="G24" s="11" t="str">
        <f aca="false">COUNTIFS('Shopping List'!$B$5:$B$316,A24,'Shopping List'!$M$5:$M$316,"Received")&amp;" / "&amp;E24</f>
        <v>0 / 1</v>
      </c>
      <c r="H24" s="56" t="s">
        <v>714</v>
      </c>
    </row>
    <row r="25" customFormat="false" ht="15" hidden="false" customHeight="false" outlineLevel="0" collapsed="false">
      <c r="A25" s="11" t="s">
        <v>140</v>
      </c>
      <c r="B25" s="11" t="s">
        <v>710</v>
      </c>
      <c r="C25" s="55" t="n">
        <v>6.1</v>
      </c>
      <c r="D25" s="55" t="n">
        <v>27.6</v>
      </c>
      <c r="E25" s="11" t="n">
        <f aca="false">COUNTIF('Shopping List'!$B$5:$B$316,A25)</f>
        <v>12</v>
      </c>
      <c r="F25" s="20" t="n">
        <f aca="false">SUMIFS('Shopping List'!$J$5:$J$316,'Shopping List'!$B$5:$B$316,A25)</f>
        <v>0</v>
      </c>
      <c r="G25" s="11" t="str">
        <f aca="false">COUNTIFS('Shopping List'!$B$5:$B$316,A25,'Shopping List'!$M$5:$M$316,"Received")&amp;" / "&amp;E25</f>
        <v>0 / 12</v>
      </c>
      <c r="H25" s="56"/>
    </row>
    <row r="26" customFormat="false" ht="15" hidden="false" customHeight="false" outlineLevel="0" collapsed="false">
      <c r="A26" s="11" t="s">
        <v>143</v>
      </c>
      <c r="B26" s="11" t="s">
        <v>710</v>
      </c>
      <c r="C26" s="55" t="n">
        <v>15</v>
      </c>
      <c r="D26" s="55"/>
      <c r="E26" s="11" t="n">
        <f aca="false">COUNTIF('Shopping List'!$B$5:$B$316,A26)</f>
        <v>1</v>
      </c>
      <c r="F26" s="20" t="n">
        <f aca="false">SUMIFS('Shopping List'!$J$5:$J$316,'Shopping List'!$B$5:$B$316,A26)</f>
        <v>0</v>
      </c>
      <c r="G26" s="11" t="str">
        <f aca="false">COUNTIFS('Shopping List'!$B$5:$B$316,A26,'Shopping List'!$M$5:$M$316,"Received")&amp;" / "&amp;E26</f>
        <v>0 / 1</v>
      </c>
      <c r="H26" s="56" t="s">
        <v>714</v>
      </c>
    </row>
    <row r="27" customFormat="false" ht="15" hidden="false" customHeight="false" outlineLevel="0" collapsed="false">
      <c r="A27" s="11" t="s">
        <v>145</v>
      </c>
      <c r="B27" s="11" t="s">
        <v>710</v>
      </c>
      <c r="C27" s="55" t="n">
        <v>6.7</v>
      </c>
      <c r="D27" s="55" t="n">
        <v>27.6</v>
      </c>
      <c r="E27" s="11" t="n">
        <f aca="false">COUNTIF('Shopping List'!$B$5:$B$316,A27)</f>
        <v>12</v>
      </c>
      <c r="F27" s="20" t="n">
        <f aca="false">SUMIFS('Shopping List'!$J$5:$J$316,'Shopping List'!$B$5:$B$316,A27)</f>
        <v>0</v>
      </c>
      <c r="G27" s="11" t="str">
        <f aca="false">COUNTIFS('Shopping List'!$B$5:$B$316,A27,'Shopping List'!$M$5:$M$316,"Received")&amp;" / "&amp;E27</f>
        <v>0 / 12</v>
      </c>
      <c r="H27" s="56"/>
    </row>
    <row r="28" customFormat="false" ht="15" hidden="false" customHeight="false" outlineLevel="0" collapsed="false">
      <c r="A28" s="11" t="s">
        <v>148</v>
      </c>
      <c r="B28" s="11" t="s">
        <v>710</v>
      </c>
      <c r="C28" s="55" t="n">
        <v>15.7</v>
      </c>
      <c r="D28" s="55"/>
      <c r="E28" s="11" t="n">
        <f aca="false">COUNTIF('Shopping List'!$B$5:$B$316,A28)</f>
        <v>1</v>
      </c>
      <c r="F28" s="20" t="n">
        <f aca="false">SUMIFS('Shopping List'!$J$5:$J$316,'Shopping List'!$B$5:$B$316,A28)</f>
        <v>0</v>
      </c>
      <c r="G28" s="11" t="str">
        <f aca="false">COUNTIFS('Shopping List'!$B$5:$B$316,A28,'Shopping List'!$M$5:$M$316,"Received")&amp;" / "&amp;E28</f>
        <v>0 / 1</v>
      </c>
      <c r="H28" s="56" t="s">
        <v>714</v>
      </c>
    </row>
    <row r="29" customFormat="false" ht="15" hidden="false" customHeight="false" outlineLevel="0" collapsed="false">
      <c r="A29" s="11" t="s">
        <v>150</v>
      </c>
      <c r="B29" s="11" t="s">
        <v>710</v>
      </c>
      <c r="C29" s="55" t="n">
        <v>4.3</v>
      </c>
      <c r="D29" s="55" t="n">
        <v>21.2</v>
      </c>
      <c r="E29" s="11" t="n">
        <f aca="false">COUNTIF('Shopping List'!$B$5:$B$316,A29)</f>
        <v>12</v>
      </c>
      <c r="F29" s="20" t="n">
        <f aca="false">SUMIFS('Shopping List'!$J$5:$J$316,'Shopping List'!$B$5:$B$316,A29)</f>
        <v>0</v>
      </c>
      <c r="G29" s="11" t="str">
        <f aca="false">COUNTIFS('Shopping List'!$B$5:$B$316,A29,'Shopping List'!$M$5:$M$316,"Received")&amp;" / "&amp;E29</f>
        <v>0 / 12</v>
      </c>
      <c r="H29" s="56"/>
    </row>
    <row r="30" customFormat="false" ht="15" hidden="false" customHeight="false" outlineLevel="0" collapsed="false">
      <c r="A30" s="11" t="s">
        <v>153</v>
      </c>
      <c r="B30" s="11" t="s">
        <v>710</v>
      </c>
      <c r="C30" s="55" t="n">
        <v>28.2</v>
      </c>
      <c r="D30" s="55"/>
      <c r="E30" s="11" t="n">
        <f aca="false">COUNTIF('Shopping List'!$B$5:$B$316,A30)</f>
        <v>2</v>
      </c>
      <c r="F30" s="20" t="n">
        <f aca="false">SUMIFS('Shopping List'!$J$5:$J$316,'Shopping List'!$B$5:$B$316,A30)</f>
        <v>0</v>
      </c>
      <c r="G30" s="11" t="str">
        <f aca="false">COUNTIFS('Shopping List'!$B$5:$B$316,A30,'Shopping List'!$M$5:$M$316,"Received")&amp;" / "&amp;E30</f>
        <v>0 / 2</v>
      </c>
      <c r="H30" s="56" t="s">
        <v>714</v>
      </c>
    </row>
    <row r="31" customFormat="false" ht="15" hidden="false" customHeight="false" outlineLevel="0" collapsed="false">
      <c r="A31" s="11" t="s">
        <v>155</v>
      </c>
      <c r="B31" s="11" t="s">
        <v>710</v>
      </c>
      <c r="C31" s="55" t="n">
        <v>35.5</v>
      </c>
      <c r="D31" s="55"/>
      <c r="E31" s="11" t="n">
        <f aca="false">COUNTIF('Shopping List'!$B$5:$B$316,A31)</f>
        <v>1</v>
      </c>
      <c r="F31" s="20" t="n">
        <f aca="false">SUMIFS('Shopping List'!$J$5:$J$316,'Shopping List'!$B$5:$B$316,A31)</f>
        <v>0</v>
      </c>
      <c r="G31" s="11" t="str">
        <f aca="false">COUNTIFS('Shopping List'!$B$5:$B$316,A31,'Shopping List'!$M$5:$M$316,"Received")&amp;" / "&amp;E31</f>
        <v>0 / 1</v>
      </c>
      <c r="H31" s="56" t="s">
        <v>715</v>
      </c>
    </row>
    <row r="32" customFormat="false" ht="15" hidden="false" customHeight="false" outlineLevel="0" collapsed="false">
      <c r="A32" s="11" t="s">
        <v>160</v>
      </c>
      <c r="B32" s="11" t="s">
        <v>710</v>
      </c>
      <c r="C32" s="55"/>
      <c r="D32" s="55"/>
      <c r="E32" s="11" t="n">
        <f aca="false">COUNTIF('Shopping List'!$B$5:$B$316,A32)</f>
        <v>3</v>
      </c>
      <c r="F32" s="20" t="n">
        <f aca="false">SUMIFS('Shopping List'!$J$5:$J$316,'Shopping List'!$B$5:$B$316,A32)</f>
        <v>0</v>
      </c>
      <c r="G32" s="11" t="str">
        <f aca="false">COUNTIFS('Shopping List'!$B$5:$B$316,A32,'Shopping List'!$M$5:$M$316,"Received")&amp;" / "&amp;E32</f>
        <v>0 / 3</v>
      </c>
      <c r="H32" s="56" t="s">
        <v>709</v>
      </c>
    </row>
    <row r="33" customFormat="false" ht="15" hidden="false" customHeight="false" outlineLevel="0" collapsed="false">
      <c r="A33" s="11" t="s">
        <v>164</v>
      </c>
      <c r="B33" s="11" t="s">
        <v>716</v>
      </c>
      <c r="C33" s="55" t="n">
        <v>47.2</v>
      </c>
      <c r="D33" s="55"/>
      <c r="E33" s="11" t="n">
        <f aca="false">COUNTIF('Shopping List'!$B$5:$B$316,A33)</f>
        <v>1</v>
      </c>
      <c r="F33" s="20" t="n">
        <f aca="false">SUMIFS('Shopping List'!$J$5:$J$316,'Shopping List'!$B$5:$B$316,A33)</f>
        <v>0</v>
      </c>
      <c r="G33" s="11" t="str">
        <f aca="false">COUNTIFS('Shopping List'!$B$5:$B$316,A33,'Shopping List'!$M$5:$M$316,"Received")&amp;" / "&amp;E33</f>
        <v>0 / 1</v>
      </c>
      <c r="H33" s="56" t="s">
        <v>714</v>
      </c>
    </row>
    <row r="34" customFormat="false" ht="15" hidden="false" customHeight="false" outlineLevel="0" collapsed="false">
      <c r="A34" s="11" t="s">
        <v>169</v>
      </c>
      <c r="B34" s="11" t="s">
        <v>716</v>
      </c>
      <c r="C34" s="55" t="n">
        <v>2.1</v>
      </c>
      <c r="D34" s="55" t="n">
        <v>13.2</v>
      </c>
      <c r="E34" s="11" t="n">
        <f aca="false">COUNTIF('Shopping List'!$B$5:$B$316,A34)</f>
        <v>9</v>
      </c>
      <c r="F34" s="20" t="n">
        <f aca="false">SUMIFS('Shopping List'!$J$5:$J$316,'Shopping List'!$B$5:$B$316,A34)</f>
        <v>0</v>
      </c>
      <c r="G34" s="11" t="str">
        <f aca="false">COUNTIFS('Shopping List'!$B$5:$B$316,A34,'Shopping List'!$M$5:$M$316,"Received")&amp;" / "&amp;E34</f>
        <v>0 / 9</v>
      </c>
      <c r="H34" s="56" t="s">
        <v>706</v>
      </c>
    </row>
    <row r="35" customFormat="false" ht="15" hidden="false" customHeight="false" outlineLevel="0" collapsed="false">
      <c r="A35" s="11" t="s">
        <v>172</v>
      </c>
      <c r="B35" s="11" t="s">
        <v>716</v>
      </c>
      <c r="C35" s="55" t="n">
        <v>18.6</v>
      </c>
      <c r="D35" s="55"/>
      <c r="E35" s="11" t="n">
        <f aca="false">COUNTIF('Shopping List'!$B$5:$B$316,A35)</f>
        <v>1</v>
      </c>
      <c r="F35" s="20" t="n">
        <f aca="false">SUMIFS('Shopping List'!$J$5:$J$316,'Shopping List'!$B$5:$B$316,A35)</f>
        <v>0</v>
      </c>
      <c r="G35" s="11" t="str">
        <f aca="false">COUNTIFS('Shopping List'!$B$5:$B$316,A35,'Shopping List'!$M$5:$M$316,"Received")&amp;" / "&amp;E35</f>
        <v>0 / 1</v>
      </c>
      <c r="H35" s="56" t="s">
        <v>717</v>
      </c>
    </row>
    <row r="36" customFormat="false" ht="15" hidden="false" customHeight="false" outlineLevel="0" collapsed="false">
      <c r="A36" s="11" t="s">
        <v>174</v>
      </c>
      <c r="B36" s="11" t="s">
        <v>716</v>
      </c>
      <c r="C36" s="55" t="n">
        <v>110</v>
      </c>
      <c r="D36" s="55"/>
      <c r="E36" s="11" t="n">
        <f aca="false">COUNTIF('Shopping List'!$B$5:$B$316,A36)</f>
        <v>2</v>
      </c>
      <c r="F36" s="20" t="n">
        <f aca="false">SUMIFS('Shopping List'!$J$5:$J$316,'Shopping List'!$B$5:$B$316,A36)</f>
        <v>0</v>
      </c>
      <c r="G36" s="11" t="str">
        <f aca="false">COUNTIFS('Shopping List'!$B$5:$B$316,A36,'Shopping List'!$M$5:$M$316,"Received")&amp;" / "&amp;E36</f>
        <v>0 / 2</v>
      </c>
      <c r="H36" s="56" t="s">
        <v>718</v>
      </c>
    </row>
    <row r="37" customFormat="false" ht="15" hidden="false" customHeight="false" outlineLevel="0" collapsed="false">
      <c r="A37" s="11" t="s">
        <v>180</v>
      </c>
      <c r="B37" s="11" t="s">
        <v>719</v>
      </c>
      <c r="C37" s="55"/>
      <c r="D37" s="55"/>
      <c r="E37" s="11" t="n">
        <f aca="false">COUNTIF('Shopping List'!$B$5:$B$316,A37)</f>
        <v>33</v>
      </c>
      <c r="F37" s="20" t="n">
        <f aca="false">SUMIFS('Shopping List'!$J$5:$J$316,'Shopping List'!$B$5:$B$316,A37)</f>
        <v>0</v>
      </c>
      <c r="G37" s="11" t="str">
        <f aca="false">COUNTIFS('Shopping List'!$B$5:$B$316,A37,'Shopping List'!$M$5:$M$316,"Received")&amp;" / "&amp;E37</f>
        <v>0 / 33</v>
      </c>
      <c r="H37" s="56" t="s">
        <v>720</v>
      </c>
    </row>
    <row r="38" customFormat="false" ht="15" hidden="false" customHeight="false" outlineLevel="0" collapsed="false">
      <c r="A38" s="11" t="s">
        <v>415</v>
      </c>
      <c r="B38" s="11" t="s">
        <v>719</v>
      </c>
      <c r="C38" s="55"/>
      <c r="D38" s="55"/>
      <c r="E38" s="11" t="n">
        <f aca="false">COUNTIF('Shopping List'!$B$5:$B$316,A38)</f>
        <v>18</v>
      </c>
      <c r="F38" s="20" t="n">
        <f aca="false">SUMIFS('Shopping List'!$J$5:$J$316,'Shopping List'!$B$5:$B$316,A38)</f>
        <v>0</v>
      </c>
      <c r="G38" s="11" t="str">
        <f aca="false">COUNTIFS('Shopping List'!$B$5:$B$316,A38,'Shopping List'!$M$5:$M$316,"Received")&amp;" / "&amp;E38</f>
        <v>0 / 18</v>
      </c>
      <c r="H38" s="56" t="s">
        <v>721</v>
      </c>
    </row>
    <row r="39" customFormat="false" ht="15" hidden="false" customHeight="false" outlineLevel="0" collapsed="false">
      <c r="A39" s="11" t="s">
        <v>625</v>
      </c>
      <c r="B39" s="11" t="s">
        <v>722</v>
      </c>
      <c r="C39" s="55"/>
      <c r="D39" s="55"/>
      <c r="E39" s="11" t="n">
        <f aca="false">COUNTIF('Shopping List'!$B$5:$B$316,A39)</f>
        <v>9</v>
      </c>
      <c r="F39" s="20" t="n">
        <f aca="false">SUMIFS('Shopping List'!$J$5:$J$316,'Shopping List'!$B$5:$B$316,A39)</f>
        <v>0</v>
      </c>
      <c r="G39" s="11" t="str">
        <f aca="false">COUNTIFS('Shopping List'!$B$5:$B$316,A39,'Shopping List'!$M$5:$M$316,"Received")&amp;" / "&amp;E39</f>
        <v>0 / 9</v>
      </c>
      <c r="H39" s="56" t="s">
        <v>723</v>
      </c>
    </row>
    <row r="40" customFormat="false" ht="15" hidden="false" customHeight="false" outlineLevel="0" collapsed="false">
      <c r="A40" s="57"/>
      <c r="B40" s="57"/>
      <c r="C40" s="57"/>
      <c r="D40" s="57"/>
      <c r="E40" s="57"/>
      <c r="F40" s="57"/>
      <c r="G40" s="57"/>
      <c r="H40" s="57"/>
    </row>
    <row r="41" customFormat="false" ht="15" hidden="false" customHeight="false" outlineLevel="0" collapsed="false">
      <c r="A41" s="57"/>
      <c r="B41" s="57"/>
      <c r="C41" s="57"/>
      <c r="D41" s="57"/>
      <c r="E41" s="57"/>
      <c r="F41" s="57"/>
      <c r="G41" s="57"/>
      <c r="H41" s="57"/>
    </row>
    <row r="42" customFormat="false" ht="15" hidden="false" customHeight="false" outlineLevel="0" collapsed="false">
      <c r="A42" s="57"/>
      <c r="B42" s="57"/>
      <c r="C42" s="57"/>
      <c r="D42" s="57"/>
      <c r="E42" s="57"/>
      <c r="F42" s="57"/>
      <c r="G42" s="57"/>
      <c r="H42" s="57"/>
    </row>
    <row r="43" customFormat="false" ht="15" hidden="false" customHeight="false" outlineLevel="0" collapsed="false">
      <c r="A43" s="57"/>
      <c r="B43" s="57"/>
      <c r="C43" s="57"/>
      <c r="D43" s="57"/>
      <c r="E43" s="57"/>
      <c r="F43" s="57"/>
      <c r="G43" s="57"/>
      <c r="H43" s="57"/>
    </row>
    <row r="44" customFormat="false" ht="15" hidden="false" customHeight="false" outlineLevel="0" collapsed="false">
      <c r="A44" s="57"/>
      <c r="B44" s="57"/>
      <c r="C44" s="57"/>
      <c r="D44" s="57"/>
      <c r="E44" s="57"/>
      <c r="F44" s="57"/>
      <c r="G44" s="57"/>
      <c r="H44" s="57"/>
    </row>
    <row r="45" customFormat="false" ht="15" hidden="false" customHeight="false" outlineLevel="0" collapsed="false">
      <c r="A45" s="57"/>
      <c r="B45" s="57"/>
      <c r="C45" s="57"/>
      <c r="D45" s="57"/>
      <c r="E45" s="57"/>
      <c r="F45" s="57"/>
      <c r="G45" s="57"/>
      <c r="H45" s="57"/>
    </row>
    <row r="46" customFormat="false" ht="15" hidden="false" customHeight="false" outlineLevel="0" collapsed="false">
      <c r="A46" s="57"/>
      <c r="B46" s="57"/>
      <c r="C46" s="57"/>
      <c r="D46" s="57"/>
      <c r="E46" s="57"/>
      <c r="F46" s="57"/>
      <c r="G46" s="57"/>
      <c r="H46" s="57"/>
    </row>
    <row r="47" customFormat="false" ht="15" hidden="false" customHeight="false" outlineLevel="0" collapsed="false">
      <c r="A47" s="57"/>
      <c r="B47" s="57"/>
      <c r="C47" s="57"/>
      <c r="D47" s="57"/>
      <c r="E47" s="57"/>
      <c r="F47" s="57"/>
      <c r="G47" s="57"/>
      <c r="H47" s="5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8C9A"/>
    <pageSetUpPr fitToPage="false"/>
  </sheetPr>
  <dimension ref="A1:H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2"/>
    <col collapsed="false" customWidth="true" hidden="false" outlineLevel="0" max="3" min="3" style="0" width="13"/>
    <col collapsed="false" customWidth="true" hidden="false" outlineLevel="0" max="5" min="4" style="0" width="16"/>
    <col collapsed="false" customWidth="true" hidden="false" outlineLevel="0" max="6" min="6" style="0" width="40"/>
  </cols>
  <sheetData>
    <row r="1" customFormat="false" ht="18.55" hidden="false" customHeight="false" outlineLevel="0" collapsed="false">
      <c r="A1" s="37" t="s">
        <v>724</v>
      </c>
    </row>
    <row r="2" customFormat="false" ht="15" hidden="false" customHeight="false" outlineLevel="0" collapsed="false">
      <c r="A2" s="2" t="s">
        <v>725</v>
      </c>
    </row>
    <row r="4" customFormat="false" ht="15" hidden="false" customHeight="false" outlineLevel="0" collapsed="false">
      <c r="A4" s="5" t="s">
        <v>726</v>
      </c>
      <c r="B4" s="58" t="n">
        <f aca="false">COUNTIF(C7:C46,"?*")</f>
        <v>22</v>
      </c>
      <c r="C4" s="59" t="str">
        <f aca="false">"Entrance: "&amp;COUNTIF($C$7:$C$46,"Entrance")</f>
        <v>Entrance: 1</v>
      </c>
      <c r="D4" s="59" t="str">
        <f aca="false">"External: "&amp;COUNTIF($C$7:$C$46,"External")</f>
        <v>External: 2</v>
      </c>
      <c r="E4" s="59" t="str">
        <f aca="false">"Bedroom: "&amp;COUNTIF($C$7:$C$46,"Bedroom")</f>
        <v>Bedroom: 5</v>
      </c>
      <c r="F4" s="59" t="str">
        <f aca="false">"Bathroom: "&amp;COUNTIF($C$7:$C$46,"Bathroom")</f>
        <v>Bathroom: 7</v>
      </c>
      <c r="G4" s="59" t="str">
        <f aca="false">"Keyed: "&amp;COUNTIF($C$7:$C$46,"Keyed")</f>
        <v>Keyed: 1</v>
      </c>
      <c r="H4" s="59" t="str">
        <f aca="false">"Passage: "&amp;COUNTIF($C$7:$C$46,"Passage")</f>
        <v>Passage: 6</v>
      </c>
    </row>
    <row r="6" customFormat="false" ht="30" hidden="false" customHeight="true" outlineLevel="0" collapsed="false">
      <c r="A6" s="38" t="s">
        <v>727</v>
      </c>
      <c r="B6" s="38" t="s">
        <v>47</v>
      </c>
      <c r="C6" s="38" t="s">
        <v>728</v>
      </c>
      <c r="D6" s="38" t="s">
        <v>729</v>
      </c>
      <c r="E6" s="38" t="s">
        <v>730</v>
      </c>
      <c r="F6" s="38" t="s">
        <v>57</v>
      </c>
    </row>
    <row r="7" customFormat="false" ht="15" hidden="false" customHeight="false" outlineLevel="0" collapsed="false">
      <c r="A7" s="10" t="s">
        <v>731</v>
      </c>
      <c r="B7" s="10" t="s">
        <v>60</v>
      </c>
      <c r="C7" s="10" t="s">
        <v>732</v>
      </c>
      <c r="D7" s="10" t="s">
        <v>733</v>
      </c>
      <c r="E7" s="10" t="s">
        <v>734</v>
      </c>
      <c r="F7" s="10" t="s">
        <v>735</v>
      </c>
    </row>
    <row r="8" customFormat="false" ht="15" hidden="false" customHeight="false" outlineLevel="0" collapsed="false">
      <c r="A8" s="10" t="s">
        <v>736</v>
      </c>
      <c r="B8" s="10" t="s">
        <v>75</v>
      </c>
      <c r="C8" s="10" t="s">
        <v>737</v>
      </c>
      <c r="D8" s="10" t="s">
        <v>738</v>
      </c>
      <c r="E8" s="10" t="s">
        <v>739</v>
      </c>
      <c r="F8" s="10"/>
    </row>
    <row r="9" customFormat="false" ht="15" hidden="false" customHeight="false" outlineLevel="0" collapsed="false">
      <c r="A9" s="10" t="s">
        <v>740</v>
      </c>
      <c r="B9" s="10" t="s">
        <v>82</v>
      </c>
      <c r="C9" s="10" t="s">
        <v>737</v>
      </c>
      <c r="D9" s="10" t="s">
        <v>738</v>
      </c>
      <c r="E9" s="10" t="s">
        <v>739</v>
      </c>
      <c r="F9" s="10"/>
    </row>
    <row r="10" customFormat="false" ht="15" hidden="false" customHeight="false" outlineLevel="0" collapsed="false">
      <c r="A10" s="10" t="s">
        <v>741</v>
      </c>
      <c r="B10" s="10" t="s">
        <v>84</v>
      </c>
      <c r="C10" s="10" t="s">
        <v>737</v>
      </c>
      <c r="D10" s="10" t="s">
        <v>738</v>
      </c>
      <c r="E10" s="10" t="s">
        <v>734</v>
      </c>
      <c r="F10" s="10"/>
    </row>
    <row r="11" customFormat="false" ht="15" hidden="false" customHeight="false" outlineLevel="0" collapsed="false">
      <c r="A11" s="10" t="s">
        <v>742</v>
      </c>
      <c r="B11" s="10" t="s">
        <v>86</v>
      </c>
      <c r="C11" s="10" t="s">
        <v>743</v>
      </c>
      <c r="D11" s="10" t="s">
        <v>738</v>
      </c>
      <c r="E11" s="10" t="s">
        <v>734</v>
      </c>
      <c r="F11" s="10" t="s">
        <v>744</v>
      </c>
    </row>
    <row r="12" customFormat="false" ht="15" hidden="false" customHeight="false" outlineLevel="0" collapsed="false">
      <c r="A12" s="10" t="s">
        <v>745</v>
      </c>
      <c r="B12" s="10" t="s">
        <v>88</v>
      </c>
      <c r="C12" s="10" t="s">
        <v>737</v>
      </c>
      <c r="D12" s="10" t="s">
        <v>738</v>
      </c>
      <c r="E12" s="10" t="s">
        <v>734</v>
      </c>
      <c r="F12" s="10"/>
    </row>
    <row r="13" customFormat="false" ht="15" hidden="false" customHeight="false" outlineLevel="0" collapsed="false">
      <c r="A13" s="10" t="s">
        <v>746</v>
      </c>
      <c r="B13" s="10" t="s">
        <v>90</v>
      </c>
      <c r="C13" s="10" t="s">
        <v>747</v>
      </c>
      <c r="D13" s="10" t="s">
        <v>748</v>
      </c>
      <c r="E13" s="10" t="s">
        <v>734</v>
      </c>
      <c r="F13" s="10"/>
    </row>
    <row r="14" customFormat="false" ht="15" hidden="false" customHeight="false" outlineLevel="0" collapsed="false">
      <c r="A14" s="10" t="s">
        <v>749</v>
      </c>
      <c r="B14" s="10" t="s">
        <v>92</v>
      </c>
      <c r="C14" s="10" t="s">
        <v>750</v>
      </c>
      <c r="D14" s="10" t="s">
        <v>738</v>
      </c>
      <c r="E14" s="10" t="s">
        <v>734</v>
      </c>
      <c r="F14" s="10"/>
    </row>
    <row r="15" customFormat="false" ht="15" hidden="false" customHeight="false" outlineLevel="0" collapsed="false">
      <c r="A15" s="10" t="s">
        <v>751</v>
      </c>
      <c r="B15" s="10" t="s">
        <v>102</v>
      </c>
      <c r="C15" s="10" t="s">
        <v>750</v>
      </c>
      <c r="D15" s="10" t="s">
        <v>738</v>
      </c>
      <c r="E15" s="10" t="s">
        <v>734</v>
      </c>
      <c r="F15" s="10"/>
    </row>
    <row r="16" customFormat="false" ht="15" hidden="false" customHeight="false" outlineLevel="0" collapsed="false">
      <c r="A16" s="10" t="s">
        <v>752</v>
      </c>
      <c r="B16" s="10" t="s">
        <v>105</v>
      </c>
      <c r="C16" s="10" t="s">
        <v>753</v>
      </c>
      <c r="D16" s="10" t="s">
        <v>754</v>
      </c>
      <c r="E16" s="10" t="s">
        <v>734</v>
      </c>
      <c r="F16" s="10" t="s">
        <v>755</v>
      </c>
    </row>
    <row r="17" customFormat="false" ht="15" hidden="false" customHeight="false" outlineLevel="0" collapsed="false">
      <c r="A17" s="10" t="s">
        <v>756</v>
      </c>
      <c r="B17" s="10" t="s">
        <v>131</v>
      </c>
      <c r="C17" s="10" t="s">
        <v>747</v>
      </c>
      <c r="D17" s="10" t="s">
        <v>748</v>
      </c>
      <c r="E17" s="10" t="s">
        <v>734</v>
      </c>
      <c r="F17" s="10"/>
    </row>
    <row r="18" customFormat="false" ht="15" hidden="false" customHeight="false" outlineLevel="0" collapsed="false">
      <c r="A18" s="10" t="s">
        <v>757</v>
      </c>
      <c r="B18" s="10" t="s">
        <v>133</v>
      </c>
      <c r="C18" s="10" t="s">
        <v>750</v>
      </c>
      <c r="D18" s="10" t="s">
        <v>738</v>
      </c>
      <c r="E18" s="10" t="s">
        <v>734</v>
      </c>
      <c r="F18" s="10"/>
    </row>
    <row r="19" customFormat="false" ht="15" hidden="false" customHeight="false" outlineLevel="0" collapsed="false">
      <c r="A19" s="10" t="s">
        <v>758</v>
      </c>
      <c r="B19" s="10" t="s">
        <v>136</v>
      </c>
      <c r="C19" s="10" t="s">
        <v>737</v>
      </c>
      <c r="D19" s="10" t="s">
        <v>738</v>
      </c>
      <c r="E19" s="10" t="s">
        <v>739</v>
      </c>
      <c r="F19" s="10"/>
    </row>
    <row r="20" customFormat="false" ht="15" hidden="false" customHeight="false" outlineLevel="0" collapsed="false">
      <c r="A20" s="10" t="s">
        <v>759</v>
      </c>
      <c r="B20" s="10" t="s">
        <v>138</v>
      </c>
      <c r="C20" s="10" t="s">
        <v>747</v>
      </c>
      <c r="D20" s="10" t="s">
        <v>748</v>
      </c>
      <c r="E20" s="10" t="s">
        <v>734</v>
      </c>
      <c r="F20" s="10"/>
    </row>
    <row r="21" customFormat="false" ht="15" hidden="false" customHeight="false" outlineLevel="0" collapsed="false">
      <c r="A21" s="10" t="s">
        <v>760</v>
      </c>
      <c r="B21" s="10" t="s">
        <v>140</v>
      </c>
      <c r="C21" s="10" t="s">
        <v>750</v>
      </c>
      <c r="D21" s="10" t="s">
        <v>738</v>
      </c>
      <c r="E21" s="10" t="s">
        <v>734</v>
      </c>
      <c r="F21" s="10"/>
    </row>
    <row r="22" customFormat="false" ht="15" hidden="false" customHeight="false" outlineLevel="0" collapsed="false">
      <c r="A22" s="10" t="s">
        <v>761</v>
      </c>
      <c r="B22" s="10" t="s">
        <v>143</v>
      </c>
      <c r="C22" s="10" t="s">
        <v>747</v>
      </c>
      <c r="D22" s="10" t="s">
        <v>748</v>
      </c>
      <c r="E22" s="10" t="s">
        <v>734</v>
      </c>
      <c r="F22" s="10"/>
    </row>
    <row r="23" customFormat="false" ht="15" hidden="false" customHeight="false" outlineLevel="0" collapsed="false">
      <c r="A23" s="10" t="s">
        <v>762</v>
      </c>
      <c r="B23" s="10" t="s">
        <v>145</v>
      </c>
      <c r="C23" s="10" t="s">
        <v>750</v>
      </c>
      <c r="D23" s="10" t="s">
        <v>738</v>
      </c>
      <c r="E23" s="10" t="s">
        <v>734</v>
      </c>
      <c r="F23" s="10"/>
    </row>
    <row r="24" customFormat="false" ht="15" hidden="false" customHeight="false" outlineLevel="0" collapsed="false">
      <c r="A24" s="10" t="s">
        <v>763</v>
      </c>
      <c r="B24" s="10" t="s">
        <v>148</v>
      </c>
      <c r="C24" s="10" t="s">
        <v>747</v>
      </c>
      <c r="D24" s="10" t="s">
        <v>748</v>
      </c>
      <c r="E24" s="10" t="s">
        <v>734</v>
      </c>
      <c r="F24" s="10"/>
    </row>
    <row r="25" customFormat="false" ht="15" hidden="false" customHeight="false" outlineLevel="0" collapsed="false">
      <c r="A25" s="10" t="s">
        <v>764</v>
      </c>
      <c r="B25" s="10" t="s">
        <v>150</v>
      </c>
      <c r="C25" s="10" t="s">
        <v>750</v>
      </c>
      <c r="D25" s="10" t="s">
        <v>738</v>
      </c>
      <c r="E25" s="10" t="s">
        <v>734</v>
      </c>
      <c r="F25" s="10"/>
    </row>
    <row r="26" customFormat="false" ht="15" hidden="false" customHeight="false" outlineLevel="0" collapsed="false">
      <c r="A26" s="10" t="s">
        <v>765</v>
      </c>
      <c r="B26" s="10" t="s">
        <v>164</v>
      </c>
      <c r="C26" s="10" t="s">
        <v>737</v>
      </c>
      <c r="D26" s="10" t="s">
        <v>748</v>
      </c>
      <c r="E26" s="10" t="s">
        <v>739</v>
      </c>
      <c r="F26" s="10"/>
    </row>
    <row r="27" customFormat="false" ht="15" hidden="false" customHeight="false" outlineLevel="0" collapsed="false">
      <c r="A27" s="10" t="s">
        <v>766</v>
      </c>
      <c r="B27" s="10" t="s">
        <v>169</v>
      </c>
      <c r="C27" s="10" t="s">
        <v>750</v>
      </c>
      <c r="D27" s="10" t="s">
        <v>738</v>
      </c>
      <c r="E27" s="10" t="s">
        <v>734</v>
      </c>
      <c r="F27" s="10"/>
    </row>
    <row r="28" customFormat="false" ht="15" hidden="false" customHeight="false" outlineLevel="0" collapsed="false">
      <c r="A28" s="10" t="s">
        <v>767</v>
      </c>
      <c r="B28" s="10" t="s">
        <v>172</v>
      </c>
      <c r="C28" s="10" t="s">
        <v>753</v>
      </c>
      <c r="D28" s="10" t="s">
        <v>754</v>
      </c>
      <c r="E28" s="10" t="s">
        <v>734</v>
      </c>
      <c r="F28" s="10" t="s">
        <v>768</v>
      </c>
    </row>
    <row r="29" customFormat="false" ht="15" hidden="false" customHeight="false" outlineLevel="0" collapsed="false">
      <c r="A29" s="10"/>
      <c r="B29" s="10"/>
      <c r="C29" s="10"/>
      <c r="D29" s="10"/>
      <c r="E29" s="10"/>
      <c r="F29" s="10"/>
    </row>
    <row r="30" customFormat="false" ht="15" hidden="false" customHeight="false" outlineLevel="0" collapsed="false">
      <c r="A30" s="10"/>
      <c r="B30" s="10"/>
      <c r="C30" s="10"/>
      <c r="D30" s="10"/>
      <c r="E30" s="10"/>
      <c r="F30" s="10"/>
    </row>
    <row r="31" customFormat="false" ht="15" hidden="false" customHeight="false" outlineLevel="0" collapsed="false">
      <c r="A31" s="10"/>
      <c r="B31" s="10"/>
      <c r="C31" s="10"/>
      <c r="D31" s="10"/>
      <c r="E31" s="10"/>
      <c r="F31" s="10"/>
    </row>
    <row r="32" customFormat="false" ht="15" hidden="false" customHeight="false" outlineLevel="0" collapsed="false">
      <c r="A32" s="10"/>
      <c r="B32" s="10"/>
      <c r="C32" s="10"/>
      <c r="D32" s="10"/>
      <c r="E32" s="10"/>
      <c r="F32" s="10"/>
    </row>
    <row r="33" customFormat="false" ht="15" hidden="false" customHeight="false" outlineLevel="0" collapsed="false">
      <c r="A33" s="10"/>
      <c r="B33" s="10"/>
      <c r="C33" s="10"/>
      <c r="D33" s="10"/>
      <c r="E33" s="10"/>
      <c r="F33" s="10"/>
    </row>
    <row r="34" customFormat="false" ht="15" hidden="false" customHeight="false" outlineLevel="0" collapsed="false">
      <c r="A34" s="10"/>
      <c r="B34" s="10"/>
      <c r="C34" s="10"/>
      <c r="D34" s="10"/>
      <c r="E34" s="10"/>
      <c r="F34" s="10"/>
    </row>
    <row r="35" customFormat="false" ht="15" hidden="false" customHeight="false" outlineLevel="0" collapsed="false">
      <c r="A35" s="10"/>
      <c r="B35" s="10"/>
      <c r="C35" s="10"/>
      <c r="D35" s="10"/>
      <c r="E35" s="10"/>
      <c r="F35" s="10"/>
    </row>
    <row r="36" customFormat="false" ht="15" hidden="false" customHeight="false" outlineLevel="0" collapsed="false">
      <c r="A36" s="10"/>
      <c r="B36" s="10"/>
      <c r="C36" s="10"/>
      <c r="D36" s="10"/>
      <c r="E36" s="10"/>
      <c r="F36" s="10"/>
    </row>
    <row r="37" customFormat="false" ht="15" hidden="false" customHeight="false" outlineLevel="0" collapsed="false">
      <c r="A37" s="10"/>
      <c r="B37" s="10"/>
      <c r="C37" s="10"/>
      <c r="D37" s="10"/>
      <c r="E37" s="10"/>
      <c r="F37" s="10"/>
    </row>
    <row r="38" customFormat="false" ht="15" hidden="false" customHeight="false" outlineLevel="0" collapsed="false">
      <c r="A38" s="10"/>
      <c r="B38" s="10"/>
      <c r="C38" s="10"/>
      <c r="D38" s="10"/>
      <c r="E38" s="10"/>
      <c r="F38" s="10"/>
    </row>
    <row r="39" customFormat="false" ht="15" hidden="false" customHeight="false" outlineLevel="0" collapsed="false">
      <c r="A39" s="10"/>
      <c r="B39" s="10"/>
      <c r="C39" s="10"/>
      <c r="D39" s="10"/>
      <c r="E39" s="10"/>
      <c r="F39" s="10"/>
    </row>
    <row r="40" customFormat="false" ht="15" hidden="false" customHeight="false" outlineLevel="0" collapsed="false">
      <c r="A40" s="10"/>
      <c r="B40" s="10"/>
      <c r="C40" s="10"/>
      <c r="D40" s="10"/>
      <c r="E40" s="10"/>
      <c r="F40" s="10"/>
    </row>
    <row r="41" customFormat="false" ht="15" hidden="false" customHeight="false" outlineLevel="0" collapsed="false">
      <c r="A41" s="10"/>
      <c r="B41" s="10"/>
      <c r="C41" s="10"/>
      <c r="D41" s="10"/>
      <c r="E41" s="10"/>
      <c r="F41" s="10"/>
    </row>
    <row r="42" customFormat="false" ht="15" hidden="false" customHeight="false" outlineLevel="0" collapsed="false">
      <c r="A42" s="10"/>
      <c r="B42" s="10"/>
      <c r="C42" s="10"/>
      <c r="D42" s="10"/>
      <c r="E42" s="10"/>
      <c r="F42" s="10"/>
    </row>
    <row r="43" customFormat="false" ht="15" hidden="false" customHeight="false" outlineLevel="0" collapsed="false">
      <c r="A43" s="10"/>
      <c r="B43" s="10"/>
      <c r="C43" s="10"/>
      <c r="D43" s="10"/>
      <c r="E43" s="10"/>
      <c r="F43" s="10"/>
    </row>
    <row r="44" customFormat="false" ht="15" hidden="false" customHeight="false" outlineLevel="0" collapsed="false">
      <c r="A44" s="10"/>
      <c r="B44" s="10"/>
      <c r="C44" s="10"/>
      <c r="D44" s="10"/>
      <c r="E44" s="10"/>
      <c r="F44" s="10"/>
    </row>
    <row r="45" customFormat="false" ht="15" hidden="false" customHeight="false" outlineLevel="0" collapsed="false">
      <c r="A45" s="10"/>
      <c r="B45" s="10"/>
      <c r="C45" s="10"/>
      <c r="D45" s="10"/>
      <c r="E45" s="10"/>
      <c r="F45" s="10"/>
    </row>
    <row r="46" customFormat="false" ht="15" hidden="false" customHeight="false" outlineLevel="0" collapsed="false">
      <c r="A46" s="10"/>
      <c r="B46" s="10"/>
      <c r="C46" s="10"/>
      <c r="D46" s="10"/>
      <c r="E46" s="10"/>
      <c r="F46" s="10"/>
    </row>
    <row r="48" customFormat="false" ht="15" hidden="false" customHeight="true" outlineLevel="0" collapsed="false">
      <c r="A48" s="60" t="s">
        <v>769</v>
      </c>
      <c r="B48" s="60"/>
      <c r="C48" s="60"/>
      <c r="D48" s="60"/>
      <c r="E48" s="60"/>
      <c r="F48" s="60"/>
    </row>
    <row r="49" customFormat="false" ht="15" hidden="false" customHeight="false" outlineLevel="0" collapsed="false">
      <c r="A49" s="60"/>
      <c r="B49" s="60"/>
      <c r="C49" s="60"/>
      <c r="D49" s="60"/>
      <c r="E49" s="60"/>
      <c r="F49" s="60"/>
    </row>
  </sheetData>
  <mergeCells count="1">
    <mergeCell ref="A48:F49"/>
  </mergeCells>
  <dataValidations count="3">
    <dataValidation allowBlank="true" errorStyle="stop" operator="between" showDropDown="false" showErrorMessage="false" showInputMessage="false" sqref="B7:B46" type="list">
      <formula1>Rooms!$A$5:$A$47</formula1>
      <formula2>0</formula2>
    </dataValidation>
    <dataValidation allowBlank="true" errorStyle="stop" operator="between" showDropDown="false" showErrorMessage="false" showInputMessage="false" sqref="C7:C46" type="list">
      <formula1>Lists!$E$2:$E$7</formula1>
      <formula2>0</formula2>
    </dataValidation>
    <dataValidation allowBlank="true" errorStyle="stop" operator="between" showDropDown="false" showErrorMessage="false" showInputMessage="false" sqref="E7:E46" type="list">
      <formula1>Lists!$F$2:$F$3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392B"/>
    <pageSetUpPr fitToPage="false"/>
  </sheetPr>
  <dimension ref="A1:M3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30"/>
    <col collapsed="false" customWidth="true" hidden="false" outlineLevel="0" max="4" min="4" style="0" width="38"/>
    <col collapsed="false" customWidth="true" hidden="false" outlineLevel="0" max="5" min="5" style="0" width="40"/>
    <col collapsed="false" customWidth="true" hidden="false" outlineLevel="0" max="6" min="6" style="0" width="18"/>
    <col collapsed="false" customWidth="true" hidden="false" outlineLevel="0" max="9" min="7" style="0" width="7"/>
    <col collapsed="false" customWidth="true" hidden="false" outlineLevel="0" max="10" min="10" style="0" width="8"/>
    <col collapsed="false" customWidth="true" hidden="false" outlineLevel="0" max="11" min="11" style="0" width="7"/>
    <col collapsed="false" customWidth="true" hidden="false" outlineLevel="0" max="12" min="12" style="0" width="10"/>
    <col collapsed="false" customWidth="true" hidden="false" outlineLevel="0" max="13" min="13" style="0" width="30"/>
  </cols>
  <sheetData>
    <row r="1" customFormat="false" ht="18.55" hidden="false" customHeight="false" outlineLevel="0" collapsed="false">
      <c r="A1" s="37" t="s">
        <v>770</v>
      </c>
    </row>
    <row r="2" customFormat="false" ht="15" hidden="false" customHeight="false" outlineLevel="0" collapsed="false">
      <c r="A2" s="2" t="s">
        <v>771</v>
      </c>
    </row>
    <row r="3" customFormat="false" ht="15" hidden="false" customHeight="false" outlineLevel="0" collapsed="false">
      <c r="A3" s="5" t="s">
        <v>772</v>
      </c>
      <c r="B3" s="61" t="n">
        <f aca="false">COUNTIF(C6:C305,"?*")</f>
        <v>1</v>
      </c>
      <c r="C3" s="5" t="s">
        <v>773</v>
      </c>
      <c r="D3" s="62" t="n">
        <f aca="false">SUM(J6:J305)</f>
        <v>0.459375</v>
      </c>
      <c r="E3" s="5" t="s">
        <v>774</v>
      </c>
      <c r="F3" s="61" t="str">
        <f aca="false">IF(D3=0,"-",IF(D3&lt;=28,"1 x 20ft",IF(D3&lt;=58,"1 x 40ft",IF(D3&lt;=68,"1 x 40ft HC",ROUNDUP(D3/68,0)&amp;" x 40ft HC"))))</f>
        <v>1 x 20ft</v>
      </c>
      <c r="H3" s="5" t="s">
        <v>690</v>
      </c>
      <c r="I3" s="61" t="str">
        <f aca="false">COUNTIF(L6:L305,"Y")&amp;" of "&amp;B3</f>
        <v>0 of 1</v>
      </c>
    </row>
    <row r="5" customFormat="false" ht="30" hidden="false" customHeight="true" outlineLevel="0" collapsed="false">
      <c r="A5" s="38" t="s">
        <v>775</v>
      </c>
      <c r="B5" s="38" t="s">
        <v>55</v>
      </c>
      <c r="C5" s="38" t="s">
        <v>47</v>
      </c>
      <c r="D5" s="38" t="s">
        <v>776</v>
      </c>
      <c r="E5" s="38" t="s">
        <v>777</v>
      </c>
      <c r="F5" s="38" t="s">
        <v>778</v>
      </c>
      <c r="G5" s="38" t="s">
        <v>779</v>
      </c>
      <c r="H5" s="38" t="s">
        <v>780</v>
      </c>
      <c r="I5" s="38" t="s">
        <v>781</v>
      </c>
      <c r="J5" s="38" t="s">
        <v>782</v>
      </c>
      <c r="K5" s="38" t="s">
        <v>783</v>
      </c>
      <c r="L5" s="38" t="s">
        <v>784</v>
      </c>
      <c r="M5" s="38" t="s">
        <v>57</v>
      </c>
    </row>
    <row r="6" customFormat="false" ht="15" hidden="false" customHeight="false" outlineLevel="0" collapsed="false">
      <c r="A6" s="63" t="n">
        <v>1</v>
      </c>
      <c r="B6" s="10" t="s">
        <v>785</v>
      </c>
      <c r="C6" s="10" t="s">
        <v>75</v>
      </c>
      <c r="D6" s="64" t="str">
        <f aca="false">IF(C6="","",C6&amp;"  |  BOX "&amp;COUNTIF($C$6:C6,C6)&amp;" OF "&amp;COUNTIF($C$6:$C$305,C6)&amp;IF(B6="","","  |  "&amp;B6))</f>
        <v>GF-KIT - Kitchen  |  BOX 1 OF 1  |  Foshan Tile Co.</v>
      </c>
      <c r="E6" s="10" t="s">
        <v>786</v>
      </c>
      <c r="F6" s="10" t="s">
        <v>74</v>
      </c>
      <c r="G6" s="10" t="n">
        <v>245</v>
      </c>
      <c r="H6" s="10" t="n">
        <v>125</v>
      </c>
      <c r="I6" s="10" t="n">
        <v>15</v>
      </c>
      <c r="J6" s="65" t="n">
        <f aca="false">IF(COUNT(G6:I6)=3,G6*H6*I6/1000000,"")</f>
        <v>0.459375</v>
      </c>
      <c r="K6" s="10" t="n">
        <v>95</v>
      </c>
      <c r="L6" s="10" t="s">
        <v>787</v>
      </c>
      <c r="M6" s="10" t="s">
        <v>788</v>
      </c>
    </row>
    <row r="7" customFormat="false" ht="15" hidden="false" customHeight="false" outlineLevel="0" collapsed="false">
      <c r="A7" s="63" t="n">
        <v>2</v>
      </c>
      <c r="B7" s="10"/>
      <c r="C7" s="10"/>
      <c r="D7" s="64" t="str">
        <f aca="false">IF(C7="","",C7&amp;"  |  BOX "&amp;COUNTIF($C$6:C7,C7)&amp;" OF "&amp;COUNTIF($C$6:$C$305,C7)&amp;IF(B7="","","  |  "&amp;B7))</f>
        <v/>
      </c>
      <c r="E7" s="10"/>
      <c r="F7" s="10"/>
      <c r="G7" s="10"/>
      <c r="H7" s="10"/>
      <c r="I7" s="10"/>
      <c r="J7" s="65" t="str">
        <f aca="false">IF(COUNT(G7:I7)=3,G7*H7*I7/1000000,"")</f>
        <v/>
      </c>
      <c r="K7" s="10"/>
      <c r="L7" s="10"/>
      <c r="M7" s="10"/>
    </row>
    <row r="8" customFormat="false" ht="15" hidden="false" customHeight="false" outlineLevel="0" collapsed="false">
      <c r="A8" s="63" t="n">
        <v>3</v>
      </c>
      <c r="B8" s="10"/>
      <c r="C8" s="10"/>
      <c r="D8" s="64" t="str">
        <f aca="false">IF(C8="","",C8&amp;"  |  BOX "&amp;COUNTIF($C$6:C8,C8)&amp;" OF "&amp;COUNTIF($C$6:$C$305,C8)&amp;IF(B8="","","  |  "&amp;B8))</f>
        <v/>
      </c>
      <c r="E8" s="10"/>
      <c r="F8" s="10"/>
      <c r="G8" s="10"/>
      <c r="H8" s="10"/>
      <c r="I8" s="10"/>
      <c r="J8" s="65" t="str">
        <f aca="false">IF(COUNT(G8:I8)=3,G8*H8*I8/1000000,"")</f>
        <v/>
      </c>
      <c r="K8" s="10"/>
      <c r="L8" s="10"/>
      <c r="M8" s="10"/>
    </row>
    <row r="9" customFormat="false" ht="15" hidden="false" customHeight="false" outlineLevel="0" collapsed="false">
      <c r="A9" s="63" t="n">
        <v>4</v>
      </c>
      <c r="B9" s="10"/>
      <c r="C9" s="10"/>
      <c r="D9" s="64" t="str">
        <f aca="false">IF(C9="","",C9&amp;"  |  BOX "&amp;COUNTIF($C$6:C9,C9)&amp;" OF "&amp;COUNTIF($C$6:$C$305,C9)&amp;IF(B9="","","  |  "&amp;B9))</f>
        <v/>
      </c>
      <c r="E9" s="10"/>
      <c r="F9" s="10"/>
      <c r="G9" s="10"/>
      <c r="H9" s="10"/>
      <c r="I9" s="10"/>
      <c r="J9" s="65" t="str">
        <f aca="false">IF(COUNT(G9:I9)=3,G9*H9*I9/1000000,"")</f>
        <v/>
      </c>
      <c r="K9" s="10"/>
      <c r="L9" s="10"/>
      <c r="M9" s="10"/>
    </row>
    <row r="10" customFormat="false" ht="15" hidden="false" customHeight="false" outlineLevel="0" collapsed="false">
      <c r="A10" s="63" t="n">
        <v>5</v>
      </c>
      <c r="B10" s="10"/>
      <c r="C10" s="10"/>
      <c r="D10" s="64" t="str">
        <f aca="false">IF(C10="","",C10&amp;"  |  BOX "&amp;COUNTIF($C$6:C10,C10)&amp;" OF "&amp;COUNTIF($C$6:$C$305,C10)&amp;IF(B10="","","  |  "&amp;B10))</f>
        <v/>
      </c>
      <c r="E10" s="10"/>
      <c r="F10" s="10"/>
      <c r="G10" s="10"/>
      <c r="H10" s="10"/>
      <c r="I10" s="10"/>
      <c r="J10" s="65" t="str">
        <f aca="false">IF(COUNT(G10:I10)=3,G10*H10*I10/1000000,"")</f>
        <v/>
      </c>
      <c r="K10" s="10"/>
      <c r="L10" s="10"/>
      <c r="M10" s="10"/>
    </row>
    <row r="11" customFormat="false" ht="15" hidden="false" customHeight="false" outlineLevel="0" collapsed="false">
      <c r="A11" s="63" t="n">
        <v>6</v>
      </c>
      <c r="B11" s="10"/>
      <c r="C11" s="10"/>
      <c r="D11" s="64" t="str">
        <f aca="false">IF(C11="","",C11&amp;"  |  BOX "&amp;COUNTIF($C$6:C11,C11)&amp;" OF "&amp;COUNTIF($C$6:$C$305,C11)&amp;IF(B11="","","  |  "&amp;B11))</f>
        <v/>
      </c>
      <c r="E11" s="10"/>
      <c r="F11" s="10"/>
      <c r="G11" s="10"/>
      <c r="H11" s="10"/>
      <c r="I11" s="10"/>
      <c r="J11" s="65" t="str">
        <f aca="false">IF(COUNT(G11:I11)=3,G11*H11*I11/1000000,"")</f>
        <v/>
      </c>
      <c r="K11" s="10"/>
      <c r="L11" s="10"/>
      <c r="M11" s="10"/>
    </row>
    <row r="12" customFormat="false" ht="15" hidden="false" customHeight="false" outlineLevel="0" collapsed="false">
      <c r="A12" s="63" t="n">
        <v>7</v>
      </c>
      <c r="B12" s="10"/>
      <c r="C12" s="10"/>
      <c r="D12" s="64" t="str">
        <f aca="false">IF(C12="","",C12&amp;"  |  BOX "&amp;COUNTIF($C$6:C12,C12)&amp;" OF "&amp;COUNTIF($C$6:$C$305,C12)&amp;IF(B12="","","  |  "&amp;B12))</f>
        <v/>
      </c>
      <c r="E12" s="10"/>
      <c r="F12" s="10"/>
      <c r="G12" s="10"/>
      <c r="H12" s="10"/>
      <c r="I12" s="10"/>
      <c r="J12" s="65" t="str">
        <f aca="false">IF(COUNT(G12:I12)=3,G12*H12*I12/1000000,"")</f>
        <v/>
      </c>
      <c r="K12" s="10"/>
      <c r="L12" s="10"/>
      <c r="M12" s="10"/>
    </row>
    <row r="13" customFormat="false" ht="15" hidden="false" customHeight="false" outlineLevel="0" collapsed="false">
      <c r="A13" s="63" t="n">
        <v>8</v>
      </c>
      <c r="B13" s="10"/>
      <c r="C13" s="10"/>
      <c r="D13" s="64" t="str">
        <f aca="false">IF(C13="","",C13&amp;"  |  BOX "&amp;COUNTIF($C$6:C13,C13)&amp;" OF "&amp;COUNTIF($C$6:$C$305,C13)&amp;IF(B13="","","  |  "&amp;B13))</f>
        <v/>
      </c>
      <c r="E13" s="10"/>
      <c r="F13" s="10"/>
      <c r="G13" s="10"/>
      <c r="H13" s="10"/>
      <c r="I13" s="10"/>
      <c r="J13" s="65" t="str">
        <f aca="false">IF(COUNT(G13:I13)=3,G13*H13*I13/1000000,"")</f>
        <v/>
      </c>
      <c r="K13" s="10"/>
      <c r="L13" s="10"/>
      <c r="M13" s="10"/>
    </row>
    <row r="14" customFormat="false" ht="15" hidden="false" customHeight="false" outlineLevel="0" collapsed="false">
      <c r="A14" s="63" t="n">
        <v>9</v>
      </c>
      <c r="B14" s="10"/>
      <c r="C14" s="10"/>
      <c r="D14" s="64" t="str">
        <f aca="false">IF(C14="","",C14&amp;"  |  BOX "&amp;COUNTIF($C$6:C14,C14)&amp;" OF "&amp;COUNTIF($C$6:$C$305,C14)&amp;IF(B14="","","  |  "&amp;B14))</f>
        <v/>
      </c>
      <c r="E14" s="10"/>
      <c r="F14" s="10"/>
      <c r="G14" s="10"/>
      <c r="H14" s="10"/>
      <c r="I14" s="10"/>
      <c r="J14" s="65" t="str">
        <f aca="false">IF(COUNT(G14:I14)=3,G14*H14*I14/1000000,"")</f>
        <v/>
      </c>
      <c r="K14" s="10"/>
      <c r="L14" s="10"/>
      <c r="M14" s="10"/>
    </row>
    <row r="15" customFormat="false" ht="15" hidden="false" customHeight="false" outlineLevel="0" collapsed="false">
      <c r="A15" s="63" t="n">
        <v>10</v>
      </c>
      <c r="B15" s="10"/>
      <c r="C15" s="10"/>
      <c r="D15" s="64" t="str">
        <f aca="false">IF(C15="","",C15&amp;"  |  BOX "&amp;COUNTIF($C$6:C15,C15)&amp;" OF "&amp;COUNTIF($C$6:$C$305,C15)&amp;IF(B15="","","  |  "&amp;B15))</f>
        <v/>
      </c>
      <c r="E15" s="10"/>
      <c r="F15" s="10"/>
      <c r="G15" s="10"/>
      <c r="H15" s="10"/>
      <c r="I15" s="10"/>
      <c r="J15" s="65" t="str">
        <f aca="false">IF(COUNT(G15:I15)=3,G15*H15*I15/1000000,"")</f>
        <v/>
      </c>
      <c r="K15" s="10"/>
      <c r="L15" s="10"/>
      <c r="M15" s="10"/>
    </row>
    <row r="16" customFormat="false" ht="15" hidden="false" customHeight="false" outlineLevel="0" collapsed="false">
      <c r="A16" s="63" t="n">
        <v>11</v>
      </c>
      <c r="B16" s="10"/>
      <c r="C16" s="10"/>
      <c r="D16" s="64" t="str">
        <f aca="false">IF(C16="","",C16&amp;"  |  BOX "&amp;COUNTIF($C$6:C16,C16)&amp;" OF "&amp;COUNTIF($C$6:$C$305,C16)&amp;IF(B16="","","  |  "&amp;B16))</f>
        <v/>
      </c>
      <c r="E16" s="10"/>
      <c r="F16" s="10"/>
      <c r="G16" s="10"/>
      <c r="H16" s="10"/>
      <c r="I16" s="10"/>
      <c r="J16" s="65" t="str">
        <f aca="false">IF(COUNT(G16:I16)=3,G16*H16*I16/1000000,"")</f>
        <v/>
      </c>
      <c r="K16" s="10"/>
      <c r="L16" s="10"/>
      <c r="M16" s="10"/>
    </row>
    <row r="17" customFormat="false" ht="15" hidden="false" customHeight="false" outlineLevel="0" collapsed="false">
      <c r="A17" s="63" t="n">
        <v>12</v>
      </c>
      <c r="B17" s="10"/>
      <c r="C17" s="10"/>
      <c r="D17" s="64" t="str">
        <f aca="false">IF(C17="","",C17&amp;"  |  BOX "&amp;COUNTIF($C$6:C17,C17)&amp;" OF "&amp;COUNTIF($C$6:$C$305,C17)&amp;IF(B17="","","  |  "&amp;B17))</f>
        <v/>
      </c>
      <c r="E17" s="10"/>
      <c r="F17" s="10"/>
      <c r="G17" s="10"/>
      <c r="H17" s="10"/>
      <c r="I17" s="10"/>
      <c r="J17" s="65" t="str">
        <f aca="false">IF(COUNT(G17:I17)=3,G17*H17*I17/1000000,"")</f>
        <v/>
      </c>
      <c r="K17" s="10"/>
      <c r="L17" s="10"/>
      <c r="M17" s="10"/>
    </row>
    <row r="18" customFormat="false" ht="15" hidden="false" customHeight="false" outlineLevel="0" collapsed="false">
      <c r="A18" s="63" t="n">
        <v>13</v>
      </c>
      <c r="B18" s="10"/>
      <c r="C18" s="10"/>
      <c r="D18" s="64" t="str">
        <f aca="false">IF(C18="","",C18&amp;"  |  BOX "&amp;COUNTIF($C$6:C18,C18)&amp;" OF "&amp;COUNTIF($C$6:$C$305,C18)&amp;IF(B18="","","  |  "&amp;B18))</f>
        <v/>
      </c>
      <c r="E18" s="10"/>
      <c r="F18" s="10"/>
      <c r="G18" s="10"/>
      <c r="H18" s="10"/>
      <c r="I18" s="10"/>
      <c r="J18" s="65" t="str">
        <f aca="false">IF(COUNT(G18:I18)=3,G18*H18*I18/1000000,"")</f>
        <v/>
      </c>
      <c r="K18" s="10"/>
      <c r="L18" s="10"/>
      <c r="M18" s="10"/>
    </row>
    <row r="19" customFormat="false" ht="15" hidden="false" customHeight="false" outlineLevel="0" collapsed="false">
      <c r="A19" s="63" t="n">
        <v>14</v>
      </c>
      <c r="B19" s="10"/>
      <c r="C19" s="10"/>
      <c r="D19" s="64" t="str">
        <f aca="false">IF(C19="","",C19&amp;"  |  BOX "&amp;COUNTIF($C$6:C19,C19)&amp;" OF "&amp;COUNTIF($C$6:$C$305,C19)&amp;IF(B19="","","  |  "&amp;B19))</f>
        <v/>
      </c>
      <c r="E19" s="10"/>
      <c r="F19" s="10"/>
      <c r="G19" s="10"/>
      <c r="H19" s="10"/>
      <c r="I19" s="10"/>
      <c r="J19" s="65" t="str">
        <f aca="false">IF(COUNT(G19:I19)=3,G19*H19*I19/1000000,"")</f>
        <v/>
      </c>
      <c r="K19" s="10"/>
      <c r="L19" s="10"/>
      <c r="M19" s="10"/>
    </row>
    <row r="20" customFormat="false" ht="15" hidden="false" customHeight="false" outlineLevel="0" collapsed="false">
      <c r="A20" s="63" t="n">
        <v>15</v>
      </c>
      <c r="B20" s="10"/>
      <c r="C20" s="10"/>
      <c r="D20" s="64" t="str">
        <f aca="false">IF(C20="","",C20&amp;"  |  BOX "&amp;COUNTIF($C$6:C20,C20)&amp;" OF "&amp;COUNTIF($C$6:$C$305,C20)&amp;IF(B20="","","  |  "&amp;B20))</f>
        <v/>
      </c>
      <c r="E20" s="10"/>
      <c r="F20" s="10"/>
      <c r="G20" s="10"/>
      <c r="H20" s="10"/>
      <c r="I20" s="10"/>
      <c r="J20" s="65" t="str">
        <f aca="false">IF(COUNT(G20:I20)=3,G20*H20*I20/1000000,"")</f>
        <v/>
      </c>
      <c r="K20" s="10"/>
      <c r="L20" s="10"/>
      <c r="M20" s="10"/>
    </row>
    <row r="21" customFormat="false" ht="15" hidden="false" customHeight="false" outlineLevel="0" collapsed="false">
      <c r="A21" s="63" t="n">
        <v>16</v>
      </c>
      <c r="B21" s="10"/>
      <c r="C21" s="10"/>
      <c r="D21" s="64" t="str">
        <f aca="false">IF(C21="","",C21&amp;"  |  BOX "&amp;COUNTIF($C$6:C21,C21)&amp;" OF "&amp;COUNTIF($C$6:$C$305,C21)&amp;IF(B21="","","  |  "&amp;B21))</f>
        <v/>
      </c>
      <c r="E21" s="10"/>
      <c r="F21" s="10"/>
      <c r="G21" s="10"/>
      <c r="H21" s="10"/>
      <c r="I21" s="10"/>
      <c r="J21" s="65" t="str">
        <f aca="false">IF(COUNT(G21:I21)=3,G21*H21*I21/1000000,"")</f>
        <v/>
      </c>
      <c r="K21" s="10"/>
      <c r="L21" s="10"/>
      <c r="M21" s="10"/>
    </row>
    <row r="22" customFormat="false" ht="15" hidden="false" customHeight="false" outlineLevel="0" collapsed="false">
      <c r="A22" s="63" t="n">
        <v>17</v>
      </c>
      <c r="B22" s="10"/>
      <c r="C22" s="10"/>
      <c r="D22" s="64" t="str">
        <f aca="false">IF(C22="","",C22&amp;"  |  BOX "&amp;COUNTIF($C$6:C22,C22)&amp;" OF "&amp;COUNTIF($C$6:$C$305,C22)&amp;IF(B22="","","  |  "&amp;B22))</f>
        <v/>
      </c>
      <c r="E22" s="10"/>
      <c r="F22" s="10"/>
      <c r="G22" s="10"/>
      <c r="H22" s="10"/>
      <c r="I22" s="10"/>
      <c r="J22" s="65" t="str">
        <f aca="false">IF(COUNT(G22:I22)=3,G22*H22*I22/1000000,"")</f>
        <v/>
      </c>
      <c r="K22" s="10"/>
      <c r="L22" s="10"/>
      <c r="M22" s="10"/>
    </row>
    <row r="23" customFormat="false" ht="15" hidden="false" customHeight="false" outlineLevel="0" collapsed="false">
      <c r="A23" s="63" t="n">
        <v>18</v>
      </c>
      <c r="B23" s="10"/>
      <c r="C23" s="10"/>
      <c r="D23" s="64" t="str">
        <f aca="false">IF(C23="","",C23&amp;"  |  BOX "&amp;COUNTIF($C$6:C23,C23)&amp;" OF "&amp;COUNTIF($C$6:$C$305,C23)&amp;IF(B23="","","  |  "&amp;B23))</f>
        <v/>
      </c>
      <c r="E23" s="10"/>
      <c r="F23" s="10"/>
      <c r="G23" s="10"/>
      <c r="H23" s="10"/>
      <c r="I23" s="10"/>
      <c r="J23" s="65" t="str">
        <f aca="false">IF(COUNT(G23:I23)=3,G23*H23*I23/1000000,"")</f>
        <v/>
      </c>
      <c r="K23" s="10"/>
      <c r="L23" s="10"/>
      <c r="M23" s="10"/>
    </row>
    <row r="24" customFormat="false" ht="15" hidden="false" customHeight="false" outlineLevel="0" collapsed="false">
      <c r="A24" s="63" t="n">
        <v>19</v>
      </c>
      <c r="B24" s="10"/>
      <c r="C24" s="10"/>
      <c r="D24" s="64" t="str">
        <f aca="false">IF(C24="","",C24&amp;"  |  BOX "&amp;COUNTIF($C$6:C24,C24)&amp;" OF "&amp;COUNTIF($C$6:$C$305,C24)&amp;IF(B24="","","  |  "&amp;B24))</f>
        <v/>
      </c>
      <c r="E24" s="10"/>
      <c r="F24" s="10"/>
      <c r="G24" s="10"/>
      <c r="H24" s="10"/>
      <c r="I24" s="10"/>
      <c r="J24" s="65" t="str">
        <f aca="false">IF(COUNT(G24:I24)=3,G24*H24*I24/1000000,"")</f>
        <v/>
      </c>
      <c r="K24" s="10"/>
      <c r="L24" s="10"/>
      <c r="M24" s="10"/>
    </row>
    <row r="25" customFormat="false" ht="15" hidden="false" customHeight="false" outlineLevel="0" collapsed="false">
      <c r="A25" s="63" t="n">
        <v>20</v>
      </c>
      <c r="B25" s="10"/>
      <c r="C25" s="10"/>
      <c r="D25" s="64" t="str">
        <f aca="false">IF(C25="","",C25&amp;"  |  BOX "&amp;COUNTIF($C$6:C25,C25)&amp;" OF "&amp;COUNTIF($C$6:$C$305,C25)&amp;IF(B25="","","  |  "&amp;B25))</f>
        <v/>
      </c>
      <c r="E25" s="10"/>
      <c r="F25" s="10"/>
      <c r="G25" s="10"/>
      <c r="H25" s="10"/>
      <c r="I25" s="10"/>
      <c r="J25" s="65" t="str">
        <f aca="false">IF(COUNT(G25:I25)=3,G25*H25*I25/1000000,"")</f>
        <v/>
      </c>
      <c r="K25" s="10"/>
      <c r="L25" s="10"/>
      <c r="M25" s="10"/>
    </row>
    <row r="26" customFormat="false" ht="15" hidden="false" customHeight="false" outlineLevel="0" collapsed="false">
      <c r="A26" s="63" t="n">
        <v>21</v>
      </c>
      <c r="B26" s="10"/>
      <c r="C26" s="10"/>
      <c r="D26" s="64" t="str">
        <f aca="false">IF(C26="","",C26&amp;"  |  BOX "&amp;COUNTIF($C$6:C26,C26)&amp;" OF "&amp;COUNTIF($C$6:$C$305,C26)&amp;IF(B26="","","  |  "&amp;B26))</f>
        <v/>
      </c>
      <c r="E26" s="10"/>
      <c r="F26" s="10"/>
      <c r="G26" s="10"/>
      <c r="H26" s="10"/>
      <c r="I26" s="10"/>
      <c r="J26" s="65" t="str">
        <f aca="false">IF(COUNT(G26:I26)=3,G26*H26*I26/1000000,"")</f>
        <v/>
      </c>
      <c r="K26" s="10"/>
      <c r="L26" s="10"/>
      <c r="M26" s="10"/>
    </row>
    <row r="27" customFormat="false" ht="15" hidden="false" customHeight="false" outlineLevel="0" collapsed="false">
      <c r="A27" s="63" t="n">
        <v>22</v>
      </c>
      <c r="B27" s="10"/>
      <c r="C27" s="10"/>
      <c r="D27" s="64" t="str">
        <f aca="false">IF(C27="","",C27&amp;"  |  BOX "&amp;COUNTIF($C$6:C27,C27)&amp;" OF "&amp;COUNTIF($C$6:$C$305,C27)&amp;IF(B27="","","  |  "&amp;B27))</f>
        <v/>
      </c>
      <c r="E27" s="10"/>
      <c r="F27" s="10"/>
      <c r="G27" s="10"/>
      <c r="H27" s="10"/>
      <c r="I27" s="10"/>
      <c r="J27" s="65" t="str">
        <f aca="false">IF(COUNT(G27:I27)=3,G27*H27*I27/1000000,"")</f>
        <v/>
      </c>
      <c r="K27" s="10"/>
      <c r="L27" s="10"/>
      <c r="M27" s="10"/>
    </row>
    <row r="28" customFormat="false" ht="15" hidden="false" customHeight="false" outlineLevel="0" collapsed="false">
      <c r="A28" s="63" t="n">
        <v>23</v>
      </c>
      <c r="B28" s="10"/>
      <c r="C28" s="10"/>
      <c r="D28" s="64" t="str">
        <f aca="false">IF(C28="","",C28&amp;"  |  BOX "&amp;COUNTIF($C$6:C28,C28)&amp;" OF "&amp;COUNTIF($C$6:$C$305,C28)&amp;IF(B28="","","  |  "&amp;B28))</f>
        <v/>
      </c>
      <c r="E28" s="10"/>
      <c r="F28" s="10"/>
      <c r="G28" s="10"/>
      <c r="H28" s="10"/>
      <c r="I28" s="10"/>
      <c r="J28" s="65" t="str">
        <f aca="false">IF(COUNT(G28:I28)=3,G28*H28*I28/1000000,"")</f>
        <v/>
      </c>
      <c r="K28" s="10"/>
      <c r="L28" s="10"/>
      <c r="M28" s="10"/>
    </row>
    <row r="29" customFormat="false" ht="15" hidden="false" customHeight="false" outlineLevel="0" collapsed="false">
      <c r="A29" s="63" t="n">
        <v>24</v>
      </c>
      <c r="B29" s="10"/>
      <c r="C29" s="10"/>
      <c r="D29" s="64" t="str">
        <f aca="false">IF(C29="","",C29&amp;"  |  BOX "&amp;COUNTIF($C$6:C29,C29)&amp;" OF "&amp;COUNTIF($C$6:$C$305,C29)&amp;IF(B29="","","  |  "&amp;B29))</f>
        <v/>
      </c>
      <c r="E29" s="10"/>
      <c r="F29" s="10"/>
      <c r="G29" s="10"/>
      <c r="H29" s="10"/>
      <c r="I29" s="10"/>
      <c r="J29" s="65" t="str">
        <f aca="false">IF(COUNT(G29:I29)=3,G29*H29*I29/1000000,"")</f>
        <v/>
      </c>
      <c r="K29" s="10"/>
      <c r="L29" s="10"/>
      <c r="M29" s="10"/>
    </row>
    <row r="30" customFormat="false" ht="15" hidden="false" customHeight="false" outlineLevel="0" collapsed="false">
      <c r="A30" s="63" t="n">
        <v>25</v>
      </c>
      <c r="B30" s="10"/>
      <c r="C30" s="10"/>
      <c r="D30" s="64" t="str">
        <f aca="false">IF(C30="","",C30&amp;"  |  BOX "&amp;COUNTIF($C$6:C30,C30)&amp;" OF "&amp;COUNTIF($C$6:$C$305,C30)&amp;IF(B30="","","  |  "&amp;B30))</f>
        <v/>
      </c>
      <c r="E30" s="10"/>
      <c r="F30" s="10"/>
      <c r="G30" s="10"/>
      <c r="H30" s="10"/>
      <c r="I30" s="10"/>
      <c r="J30" s="65" t="str">
        <f aca="false">IF(COUNT(G30:I30)=3,G30*H30*I30/1000000,"")</f>
        <v/>
      </c>
      <c r="K30" s="10"/>
      <c r="L30" s="10"/>
      <c r="M30" s="10"/>
    </row>
    <row r="31" customFormat="false" ht="15" hidden="false" customHeight="false" outlineLevel="0" collapsed="false">
      <c r="A31" s="63" t="n">
        <v>26</v>
      </c>
      <c r="B31" s="10"/>
      <c r="C31" s="10"/>
      <c r="D31" s="64" t="str">
        <f aca="false">IF(C31="","",C31&amp;"  |  BOX "&amp;COUNTIF($C$6:C31,C31)&amp;" OF "&amp;COUNTIF($C$6:$C$305,C31)&amp;IF(B31="","","  |  "&amp;B31))</f>
        <v/>
      </c>
      <c r="E31" s="10"/>
      <c r="F31" s="10"/>
      <c r="G31" s="10"/>
      <c r="H31" s="10"/>
      <c r="I31" s="10"/>
      <c r="J31" s="65" t="str">
        <f aca="false">IF(COUNT(G31:I31)=3,G31*H31*I31/1000000,"")</f>
        <v/>
      </c>
      <c r="K31" s="10"/>
      <c r="L31" s="10"/>
      <c r="M31" s="10"/>
    </row>
    <row r="32" customFormat="false" ht="15" hidden="false" customHeight="false" outlineLevel="0" collapsed="false">
      <c r="A32" s="63" t="n">
        <v>27</v>
      </c>
      <c r="B32" s="10"/>
      <c r="C32" s="10"/>
      <c r="D32" s="64" t="str">
        <f aca="false">IF(C32="","",C32&amp;"  |  BOX "&amp;COUNTIF($C$6:C32,C32)&amp;" OF "&amp;COUNTIF($C$6:$C$305,C32)&amp;IF(B32="","","  |  "&amp;B32))</f>
        <v/>
      </c>
      <c r="E32" s="10"/>
      <c r="F32" s="10"/>
      <c r="G32" s="10"/>
      <c r="H32" s="10"/>
      <c r="I32" s="10"/>
      <c r="J32" s="65" t="str">
        <f aca="false">IF(COUNT(G32:I32)=3,G32*H32*I32/1000000,"")</f>
        <v/>
      </c>
      <c r="K32" s="10"/>
      <c r="L32" s="10"/>
      <c r="M32" s="10"/>
    </row>
    <row r="33" customFormat="false" ht="15" hidden="false" customHeight="false" outlineLevel="0" collapsed="false">
      <c r="A33" s="63" t="n">
        <v>28</v>
      </c>
      <c r="B33" s="10"/>
      <c r="C33" s="10"/>
      <c r="D33" s="64" t="str">
        <f aca="false">IF(C33="","",C33&amp;"  |  BOX "&amp;COUNTIF($C$6:C33,C33)&amp;" OF "&amp;COUNTIF($C$6:$C$305,C33)&amp;IF(B33="","","  |  "&amp;B33))</f>
        <v/>
      </c>
      <c r="E33" s="10"/>
      <c r="F33" s="10"/>
      <c r="G33" s="10"/>
      <c r="H33" s="10"/>
      <c r="I33" s="10"/>
      <c r="J33" s="65" t="str">
        <f aca="false">IF(COUNT(G33:I33)=3,G33*H33*I33/1000000,"")</f>
        <v/>
      </c>
      <c r="K33" s="10"/>
      <c r="L33" s="10"/>
      <c r="M33" s="10"/>
    </row>
    <row r="34" customFormat="false" ht="15" hidden="false" customHeight="false" outlineLevel="0" collapsed="false">
      <c r="A34" s="63" t="n">
        <v>29</v>
      </c>
      <c r="B34" s="10"/>
      <c r="C34" s="10"/>
      <c r="D34" s="64" t="str">
        <f aca="false">IF(C34="","",C34&amp;"  |  BOX "&amp;COUNTIF($C$6:C34,C34)&amp;" OF "&amp;COUNTIF($C$6:$C$305,C34)&amp;IF(B34="","","  |  "&amp;B34))</f>
        <v/>
      </c>
      <c r="E34" s="10"/>
      <c r="F34" s="10"/>
      <c r="G34" s="10"/>
      <c r="H34" s="10"/>
      <c r="I34" s="10"/>
      <c r="J34" s="65" t="str">
        <f aca="false">IF(COUNT(G34:I34)=3,G34*H34*I34/1000000,"")</f>
        <v/>
      </c>
      <c r="K34" s="10"/>
      <c r="L34" s="10"/>
      <c r="M34" s="10"/>
    </row>
    <row r="35" customFormat="false" ht="15" hidden="false" customHeight="false" outlineLevel="0" collapsed="false">
      <c r="A35" s="63" t="n">
        <v>30</v>
      </c>
      <c r="B35" s="10"/>
      <c r="C35" s="10"/>
      <c r="D35" s="64" t="str">
        <f aca="false">IF(C35="","",C35&amp;"  |  BOX "&amp;COUNTIF($C$6:C35,C35)&amp;" OF "&amp;COUNTIF($C$6:$C$305,C35)&amp;IF(B35="","","  |  "&amp;B35))</f>
        <v/>
      </c>
      <c r="E35" s="10"/>
      <c r="F35" s="10"/>
      <c r="G35" s="10"/>
      <c r="H35" s="10"/>
      <c r="I35" s="10"/>
      <c r="J35" s="65" t="str">
        <f aca="false">IF(COUNT(G35:I35)=3,G35*H35*I35/1000000,"")</f>
        <v/>
      </c>
      <c r="K35" s="10"/>
      <c r="L35" s="10"/>
      <c r="M35" s="10"/>
    </row>
    <row r="36" customFormat="false" ht="15" hidden="false" customHeight="false" outlineLevel="0" collapsed="false">
      <c r="A36" s="63" t="n">
        <v>31</v>
      </c>
      <c r="B36" s="10"/>
      <c r="C36" s="10"/>
      <c r="D36" s="64" t="str">
        <f aca="false">IF(C36="","",C36&amp;"  |  BOX "&amp;COUNTIF($C$6:C36,C36)&amp;" OF "&amp;COUNTIF($C$6:$C$305,C36)&amp;IF(B36="","","  |  "&amp;B36))</f>
        <v/>
      </c>
      <c r="E36" s="10"/>
      <c r="F36" s="10"/>
      <c r="G36" s="10"/>
      <c r="H36" s="10"/>
      <c r="I36" s="10"/>
      <c r="J36" s="65" t="str">
        <f aca="false">IF(COUNT(G36:I36)=3,G36*H36*I36/1000000,"")</f>
        <v/>
      </c>
      <c r="K36" s="10"/>
      <c r="L36" s="10"/>
      <c r="M36" s="10"/>
    </row>
    <row r="37" customFormat="false" ht="15" hidden="false" customHeight="false" outlineLevel="0" collapsed="false">
      <c r="A37" s="63" t="n">
        <v>32</v>
      </c>
      <c r="B37" s="10"/>
      <c r="C37" s="10"/>
      <c r="D37" s="64" t="str">
        <f aca="false">IF(C37="","",C37&amp;"  |  BOX "&amp;COUNTIF($C$6:C37,C37)&amp;" OF "&amp;COUNTIF($C$6:$C$305,C37)&amp;IF(B37="","","  |  "&amp;B37))</f>
        <v/>
      </c>
      <c r="E37" s="10"/>
      <c r="F37" s="10"/>
      <c r="G37" s="10"/>
      <c r="H37" s="10"/>
      <c r="I37" s="10"/>
      <c r="J37" s="65" t="str">
        <f aca="false">IF(COUNT(G37:I37)=3,G37*H37*I37/1000000,"")</f>
        <v/>
      </c>
      <c r="K37" s="10"/>
      <c r="L37" s="10"/>
      <c r="M37" s="10"/>
    </row>
    <row r="38" customFormat="false" ht="15" hidden="false" customHeight="false" outlineLevel="0" collapsed="false">
      <c r="A38" s="63" t="n">
        <v>33</v>
      </c>
      <c r="B38" s="10"/>
      <c r="C38" s="10"/>
      <c r="D38" s="64" t="str">
        <f aca="false">IF(C38="","",C38&amp;"  |  BOX "&amp;COUNTIF($C$6:C38,C38)&amp;" OF "&amp;COUNTIF($C$6:$C$305,C38)&amp;IF(B38="","","  |  "&amp;B38))</f>
        <v/>
      </c>
      <c r="E38" s="10"/>
      <c r="F38" s="10"/>
      <c r="G38" s="10"/>
      <c r="H38" s="10"/>
      <c r="I38" s="10"/>
      <c r="J38" s="65" t="str">
        <f aca="false">IF(COUNT(G38:I38)=3,G38*H38*I38/1000000,"")</f>
        <v/>
      </c>
      <c r="K38" s="10"/>
      <c r="L38" s="10"/>
      <c r="M38" s="10"/>
    </row>
    <row r="39" customFormat="false" ht="15" hidden="false" customHeight="false" outlineLevel="0" collapsed="false">
      <c r="A39" s="63" t="n">
        <v>34</v>
      </c>
      <c r="B39" s="10"/>
      <c r="C39" s="10"/>
      <c r="D39" s="64" t="str">
        <f aca="false">IF(C39="","",C39&amp;"  |  BOX "&amp;COUNTIF($C$6:C39,C39)&amp;" OF "&amp;COUNTIF($C$6:$C$305,C39)&amp;IF(B39="","","  |  "&amp;B39))</f>
        <v/>
      </c>
      <c r="E39" s="10"/>
      <c r="F39" s="10"/>
      <c r="G39" s="10"/>
      <c r="H39" s="10"/>
      <c r="I39" s="10"/>
      <c r="J39" s="65" t="str">
        <f aca="false">IF(COUNT(G39:I39)=3,G39*H39*I39/1000000,"")</f>
        <v/>
      </c>
      <c r="K39" s="10"/>
      <c r="L39" s="10"/>
      <c r="M39" s="10"/>
    </row>
    <row r="40" customFormat="false" ht="15" hidden="false" customHeight="false" outlineLevel="0" collapsed="false">
      <c r="A40" s="63" t="n">
        <v>35</v>
      </c>
      <c r="B40" s="10"/>
      <c r="C40" s="10"/>
      <c r="D40" s="64" t="str">
        <f aca="false">IF(C40="","",C40&amp;"  |  BOX "&amp;COUNTIF($C$6:C40,C40)&amp;" OF "&amp;COUNTIF($C$6:$C$305,C40)&amp;IF(B40="","","  |  "&amp;B40))</f>
        <v/>
      </c>
      <c r="E40" s="10"/>
      <c r="F40" s="10"/>
      <c r="G40" s="10"/>
      <c r="H40" s="10"/>
      <c r="I40" s="10"/>
      <c r="J40" s="65" t="str">
        <f aca="false">IF(COUNT(G40:I40)=3,G40*H40*I40/1000000,"")</f>
        <v/>
      </c>
      <c r="K40" s="10"/>
      <c r="L40" s="10"/>
      <c r="M40" s="10"/>
    </row>
    <row r="41" customFormat="false" ht="15" hidden="false" customHeight="false" outlineLevel="0" collapsed="false">
      <c r="A41" s="63" t="n">
        <v>36</v>
      </c>
      <c r="B41" s="10"/>
      <c r="C41" s="10"/>
      <c r="D41" s="64" t="str">
        <f aca="false">IF(C41="","",C41&amp;"  |  BOX "&amp;COUNTIF($C$6:C41,C41)&amp;" OF "&amp;COUNTIF($C$6:$C$305,C41)&amp;IF(B41="","","  |  "&amp;B41))</f>
        <v/>
      </c>
      <c r="E41" s="10"/>
      <c r="F41" s="10"/>
      <c r="G41" s="10"/>
      <c r="H41" s="10"/>
      <c r="I41" s="10"/>
      <c r="J41" s="65" t="str">
        <f aca="false">IF(COUNT(G41:I41)=3,G41*H41*I41/1000000,"")</f>
        <v/>
      </c>
      <c r="K41" s="10"/>
      <c r="L41" s="10"/>
      <c r="M41" s="10"/>
    </row>
    <row r="42" customFormat="false" ht="15" hidden="false" customHeight="false" outlineLevel="0" collapsed="false">
      <c r="A42" s="63" t="n">
        <v>37</v>
      </c>
      <c r="B42" s="10"/>
      <c r="C42" s="10"/>
      <c r="D42" s="64" t="str">
        <f aca="false">IF(C42="","",C42&amp;"  |  BOX "&amp;COUNTIF($C$6:C42,C42)&amp;" OF "&amp;COUNTIF($C$6:$C$305,C42)&amp;IF(B42="","","  |  "&amp;B42))</f>
        <v/>
      </c>
      <c r="E42" s="10"/>
      <c r="F42" s="10"/>
      <c r="G42" s="10"/>
      <c r="H42" s="10"/>
      <c r="I42" s="10"/>
      <c r="J42" s="65" t="str">
        <f aca="false">IF(COUNT(G42:I42)=3,G42*H42*I42/1000000,"")</f>
        <v/>
      </c>
      <c r="K42" s="10"/>
      <c r="L42" s="10"/>
      <c r="M42" s="10"/>
    </row>
    <row r="43" customFormat="false" ht="15" hidden="false" customHeight="false" outlineLevel="0" collapsed="false">
      <c r="A43" s="63" t="n">
        <v>38</v>
      </c>
      <c r="B43" s="10"/>
      <c r="C43" s="10"/>
      <c r="D43" s="64" t="str">
        <f aca="false">IF(C43="","",C43&amp;"  |  BOX "&amp;COUNTIF($C$6:C43,C43)&amp;" OF "&amp;COUNTIF($C$6:$C$305,C43)&amp;IF(B43="","","  |  "&amp;B43))</f>
        <v/>
      </c>
      <c r="E43" s="10"/>
      <c r="F43" s="10"/>
      <c r="G43" s="10"/>
      <c r="H43" s="10"/>
      <c r="I43" s="10"/>
      <c r="J43" s="65" t="str">
        <f aca="false">IF(COUNT(G43:I43)=3,G43*H43*I43/1000000,"")</f>
        <v/>
      </c>
      <c r="K43" s="10"/>
      <c r="L43" s="10"/>
      <c r="M43" s="10"/>
    </row>
    <row r="44" customFormat="false" ht="15" hidden="false" customHeight="false" outlineLevel="0" collapsed="false">
      <c r="A44" s="63" t="n">
        <v>39</v>
      </c>
      <c r="B44" s="10"/>
      <c r="C44" s="10"/>
      <c r="D44" s="64" t="str">
        <f aca="false">IF(C44="","",C44&amp;"  |  BOX "&amp;COUNTIF($C$6:C44,C44)&amp;" OF "&amp;COUNTIF($C$6:$C$305,C44)&amp;IF(B44="","","  |  "&amp;B44))</f>
        <v/>
      </c>
      <c r="E44" s="10"/>
      <c r="F44" s="10"/>
      <c r="G44" s="10"/>
      <c r="H44" s="10"/>
      <c r="I44" s="10"/>
      <c r="J44" s="65" t="str">
        <f aca="false">IF(COUNT(G44:I44)=3,G44*H44*I44/1000000,"")</f>
        <v/>
      </c>
      <c r="K44" s="10"/>
      <c r="L44" s="10"/>
      <c r="M44" s="10"/>
    </row>
    <row r="45" customFormat="false" ht="15" hidden="false" customHeight="false" outlineLevel="0" collapsed="false">
      <c r="A45" s="63" t="n">
        <v>40</v>
      </c>
      <c r="B45" s="10"/>
      <c r="C45" s="10"/>
      <c r="D45" s="64" t="str">
        <f aca="false">IF(C45="","",C45&amp;"  |  BOX "&amp;COUNTIF($C$6:C45,C45)&amp;" OF "&amp;COUNTIF($C$6:$C$305,C45)&amp;IF(B45="","","  |  "&amp;B45))</f>
        <v/>
      </c>
      <c r="E45" s="10"/>
      <c r="F45" s="10"/>
      <c r="G45" s="10"/>
      <c r="H45" s="10"/>
      <c r="I45" s="10"/>
      <c r="J45" s="65" t="str">
        <f aca="false">IF(COUNT(G45:I45)=3,G45*H45*I45/1000000,"")</f>
        <v/>
      </c>
      <c r="K45" s="10"/>
      <c r="L45" s="10"/>
      <c r="M45" s="10"/>
    </row>
    <row r="46" customFormat="false" ht="15" hidden="false" customHeight="false" outlineLevel="0" collapsed="false">
      <c r="A46" s="63" t="n">
        <v>41</v>
      </c>
      <c r="B46" s="10"/>
      <c r="C46" s="10"/>
      <c r="D46" s="64" t="str">
        <f aca="false">IF(C46="","",C46&amp;"  |  BOX "&amp;COUNTIF($C$6:C46,C46)&amp;" OF "&amp;COUNTIF($C$6:$C$305,C46)&amp;IF(B46="","","  |  "&amp;B46))</f>
        <v/>
      </c>
      <c r="E46" s="10"/>
      <c r="F46" s="10"/>
      <c r="G46" s="10"/>
      <c r="H46" s="10"/>
      <c r="I46" s="10"/>
      <c r="J46" s="65" t="str">
        <f aca="false">IF(COUNT(G46:I46)=3,G46*H46*I46/1000000,"")</f>
        <v/>
      </c>
      <c r="K46" s="10"/>
      <c r="L46" s="10"/>
      <c r="M46" s="10"/>
    </row>
    <row r="47" customFormat="false" ht="15" hidden="false" customHeight="false" outlineLevel="0" collapsed="false">
      <c r="A47" s="63" t="n">
        <v>42</v>
      </c>
      <c r="B47" s="10"/>
      <c r="C47" s="10"/>
      <c r="D47" s="64" t="str">
        <f aca="false">IF(C47="","",C47&amp;"  |  BOX "&amp;COUNTIF($C$6:C47,C47)&amp;" OF "&amp;COUNTIF($C$6:$C$305,C47)&amp;IF(B47="","","  |  "&amp;B47))</f>
        <v/>
      </c>
      <c r="E47" s="10"/>
      <c r="F47" s="10"/>
      <c r="G47" s="10"/>
      <c r="H47" s="10"/>
      <c r="I47" s="10"/>
      <c r="J47" s="65" t="str">
        <f aca="false">IF(COUNT(G47:I47)=3,G47*H47*I47/1000000,"")</f>
        <v/>
      </c>
      <c r="K47" s="10"/>
      <c r="L47" s="10"/>
      <c r="M47" s="10"/>
    </row>
    <row r="48" customFormat="false" ht="15" hidden="false" customHeight="false" outlineLevel="0" collapsed="false">
      <c r="A48" s="63" t="n">
        <v>43</v>
      </c>
      <c r="B48" s="10"/>
      <c r="C48" s="10"/>
      <c r="D48" s="64" t="str">
        <f aca="false">IF(C48="","",C48&amp;"  |  BOX "&amp;COUNTIF($C$6:C48,C48)&amp;" OF "&amp;COUNTIF($C$6:$C$305,C48)&amp;IF(B48="","","  |  "&amp;B48))</f>
        <v/>
      </c>
      <c r="E48" s="10"/>
      <c r="F48" s="10"/>
      <c r="G48" s="10"/>
      <c r="H48" s="10"/>
      <c r="I48" s="10"/>
      <c r="J48" s="65" t="str">
        <f aca="false">IF(COUNT(G48:I48)=3,G48*H48*I48/1000000,"")</f>
        <v/>
      </c>
      <c r="K48" s="10"/>
      <c r="L48" s="10"/>
      <c r="M48" s="10"/>
    </row>
    <row r="49" customFormat="false" ht="15" hidden="false" customHeight="false" outlineLevel="0" collapsed="false">
      <c r="A49" s="63" t="n">
        <v>44</v>
      </c>
      <c r="B49" s="10"/>
      <c r="C49" s="10"/>
      <c r="D49" s="64" t="str">
        <f aca="false">IF(C49="","",C49&amp;"  |  BOX "&amp;COUNTIF($C$6:C49,C49)&amp;" OF "&amp;COUNTIF($C$6:$C$305,C49)&amp;IF(B49="","","  |  "&amp;B49))</f>
        <v/>
      </c>
      <c r="E49" s="10"/>
      <c r="F49" s="10"/>
      <c r="G49" s="10"/>
      <c r="H49" s="10"/>
      <c r="I49" s="10"/>
      <c r="J49" s="65" t="str">
        <f aca="false">IF(COUNT(G49:I49)=3,G49*H49*I49/1000000,"")</f>
        <v/>
      </c>
      <c r="K49" s="10"/>
      <c r="L49" s="10"/>
      <c r="M49" s="10"/>
    </row>
    <row r="50" customFormat="false" ht="15" hidden="false" customHeight="false" outlineLevel="0" collapsed="false">
      <c r="A50" s="63" t="n">
        <v>45</v>
      </c>
      <c r="B50" s="10"/>
      <c r="C50" s="10"/>
      <c r="D50" s="64" t="str">
        <f aca="false">IF(C50="","",C50&amp;"  |  BOX "&amp;COUNTIF($C$6:C50,C50)&amp;" OF "&amp;COUNTIF($C$6:$C$305,C50)&amp;IF(B50="","","  |  "&amp;B50))</f>
        <v/>
      </c>
      <c r="E50" s="10"/>
      <c r="F50" s="10"/>
      <c r="G50" s="10"/>
      <c r="H50" s="10"/>
      <c r="I50" s="10"/>
      <c r="J50" s="65" t="str">
        <f aca="false">IF(COUNT(G50:I50)=3,G50*H50*I50/1000000,"")</f>
        <v/>
      </c>
      <c r="K50" s="10"/>
      <c r="L50" s="10"/>
      <c r="M50" s="10"/>
    </row>
    <row r="51" customFormat="false" ht="15" hidden="false" customHeight="false" outlineLevel="0" collapsed="false">
      <c r="A51" s="63" t="n">
        <v>46</v>
      </c>
      <c r="B51" s="10"/>
      <c r="C51" s="10"/>
      <c r="D51" s="64" t="str">
        <f aca="false">IF(C51="","",C51&amp;"  |  BOX "&amp;COUNTIF($C$6:C51,C51)&amp;" OF "&amp;COUNTIF($C$6:$C$305,C51)&amp;IF(B51="","","  |  "&amp;B51))</f>
        <v/>
      </c>
      <c r="E51" s="10"/>
      <c r="F51" s="10"/>
      <c r="G51" s="10"/>
      <c r="H51" s="10"/>
      <c r="I51" s="10"/>
      <c r="J51" s="65" t="str">
        <f aca="false">IF(COUNT(G51:I51)=3,G51*H51*I51/1000000,"")</f>
        <v/>
      </c>
      <c r="K51" s="10"/>
      <c r="L51" s="10"/>
      <c r="M51" s="10"/>
    </row>
    <row r="52" customFormat="false" ht="15" hidden="false" customHeight="false" outlineLevel="0" collapsed="false">
      <c r="A52" s="63" t="n">
        <v>47</v>
      </c>
      <c r="B52" s="10"/>
      <c r="C52" s="10"/>
      <c r="D52" s="64" t="str">
        <f aca="false">IF(C52="","",C52&amp;"  |  BOX "&amp;COUNTIF($C$6:C52,C52)&amp;" OF "&amp;COUNTIF($C$6:$C$305,C52)&amp;IF(B52="","","  |  "&amp;B52))</f>
        <v/>
      </c>
      <c r="E52" s="10"/>
      <c r="F52" s="10"/>
      <c r="G52" s="10"/>
      <c r="H52" s="10"/>
      <c r="I52" s="10"/>
      <c r="J52" s="65" t="str">
        <f aca="false">IF(COUNT(G52:I52)=3,G52*H52*I52/1000000,"")</f>
        <v/>
      </c>
      <c r="K52" s="10"/>
      <c r="L52" s="10"/>
      <c r="M52" s="10"/>
    </row>
    <row r="53" customFormat="false" ht="15" hidden="false" customHeight="false" outlineLevel="0" collapsed="false">
      <c r="A53" s="63" t="n">
        <v>48</v>
      </c>
      <c r="B53" s="10"/>
      <c r="C53" s="10"/>
      <c r="D53" s="64" t="str">
        <f aca="false">IF(C53="","",C53&amp;"  |  BOX "&amp;COUNTIF($C$6:C53,C53)&amp;" OF "&amp;COUNTIF($C$6:$C$305,C53)&amp;IF(B53="","","  |  "&amp;B53))</f>
        <v/>
      </c>
      <c r="E53" s="10"/>
      <c r="F53" s="10"/>
      <c r="G53" s="10"/>
      <c r="H53" s="10"/>
      <c r="I53" s="10"/>
      <c r="J53" s="65" t="str">
        <f aca="false">IF(COUNT(G53:I53)=3,G53*H53*I53/1000000,"")</f>
        <v/>
      </c>
      <c r="K53" s="10"/>
      <c r="L53" s="10"/>
      <c r="M53" s="10"/>
    </row>
    <row r="54" customFormat="false" ht="15" hidden="false" customHeight="false" outlineLevel="0" collapsed="false">
      <c r="A54" s="63" t="n">
        <v>49</v>
      </c>
      <c r="B54" s="10"/>
      <c r="C54" s="10"/>
      <c r="D54" s="64" t="str">
        <f aca="false">IF(C54="","",C54&amp;"  |  BOX "&amp;COUNTIF($C$6:C54,C54)&amp;" OF "&amp;COUNTIF($C$6:$C$305,C54)&amp;IF(B54="","","  |  "&amp;B54))</f>
        <v/>
      </c>
      <c r="E54" s="10"/>
      <c r="F54" s="10"/>
      <c r="G54" s="10"/>
      <c r="H54" s="10"/>
      <c r="I54" s="10"/>
      <c r="J54" s="65" t="str">
        <f aca="false">IF(COUNT(G54:I54)=3,G54*H54*I54/1000000,"")</f>
        <v/>
      </c>
      <c r="K54" s="10"/>
      <c r="L54" s="10"/>
      <c r="M54" s="10"/>
    </row>
    <row r="55" customFormat="false" ht="15" hidden="false" customHeight="false" outlineLevel="0" collapsed="false">
      <c r="A55" s="63" t="n">
        <v>50</v>
      </c>
      <c r="B55" s="10"/>
      <c r="C55" s="10"/>
      <c r="D55" s="64" t="str">
        <f aca="false">IF(C55="","",C55&amp;"  |  BOX "&amp;COUNTIF($C$6:C55,C55)&amp;" OF "&amp;COUNTIF($C$6:$C$305,C55)&amp;IF(B55="","","  |  "&amp;B55))</f>
        <v/>
      </c>
      <c r="E55" s="10"/>
      <c r="F55" s="10"/>
      <c r="G55" s="10"/>
      <c r="H55" s="10"/>
      <c r="I55" s="10"/>
      <c r="J55" s="65" t="str">
        <f aca="false">IF(COUNT(G55:I55)=3,G55*H55*I55/1000000,"")</f>
        <v/>
      </c>
      <c r="K55" s="10"/>
      <c r="L55" s="10"/>
      <c r="M55" s="10"/>
    </row>
    <row r="56" customFormat="false" ht="15" hidden="false" customHeight="false" outlineLevel="0" collapsed="false">
      <c r="A56" s="63" t="n">
        <v>51</v>
      </c>
      <c r="B56" s="10"/>
      <c r="C56" s="10"/>
      <c r="D56" s="64" t="str">
        <f aca="false">IF(C56="","",C56&amp;"  |  BOX "&amp;COUNTIF($C$6:C56,C56)&amp;" OF "&amp;COUNTIF($C$6:$C$305,C56)&amp;IF(B56="","","  |  "&amp;B56))</f>
        <v/>
      </c>
      <c r="E56" s="10"/>
      <c r="F56" s="10"/>
      <c r="G56" s="10"/>
      <c r="H56" s="10"/>
      <c r="I56" s="10"/>
      <c r="J56" s="65" t="str">
        <f aca="false">IF(COUNT(G56:I56)=3,G56*H56*I56/1000000,"")</f>
        <v/>
      </c>
      <c r="K56" s="10"/>
      <c r="L56" s="10"/>
      <c r="M56" s="10"/>
    </row>
    <row r="57" customFormat="false" ht="15" hidden="false" customHeight="false" outlineLevel="0" collapsed="false">
      <c r="A57" s="63" t="n">
        <v>52</v>
      </c>
      <c r="B57" s="10"/>
      <c r="C57" s="10"/>
      <c r="D57" s="64" t="str">
        <f aca="false">IF(C57="","",C57&amp;"  |  BOX "&amp;COUNTIF($C$6:C57,C57)&amp;" OF "&amp;COUNTIF($C$6:$C$305,C57)&amp;IF(B57="","","  |  "&amp;B57))</f>
        <v/>
      </c>
      <c r="E57" s="10"/>
      <c r="F57" s="10"/>
      <c r="G57" s="10"/>
      <c r="H57" s="10"/>
      <c r="I57" s="10"/>
      <c r="J57" s="65" t="str">
        <f aca="false">IF(COUNT(G57:I57)=3,G57*H57*I57/1000000,"")</f>
        <v/>
      </c>
      <c r="K57" s="10"/>
      <c r="L57" s="10"/>
      <c r="M57" s="10"/>
    </row>
    <row r="58" customFormat="false" ht="15" hidden="false" customHeight="false" outlineLevel="0" collapsed="false">
      <c r="A58" s="63" t="n">
        <v>53</v>
      </c>
      <c r="B58" s="10"/>
      <c r="C58" s="10"/>
      <c r="D58" s="64" t="str">
        <f aca="false">IF(C58="","",C58&amp;"  |  BOX "&amp;COUNTIF($C$6:C58,C58)&amp;" OF "&amp;COUNTIF($C$6:$C$305,C58)&amp;IF(B58="","","  |  "&amp;B58))</f>
        <v/>
      </c>
      <c r="E58" s="10"/>
      <c r="F58" s="10"/>
      <c r="G58" s="10"/>
      <c r="H58" s="10"/>
      <c r="I58" s="10"/>
      <c r="J58" s="65" t="str">
        <f aca="false">IF(COUNT(G58:I58)=3,G58*H58*I58/1000000,"")</f>
        <v/>
      </c>
      <c r="K58" s="10"/>
      <c r="L58" s="10"/>
      <c r="M58" s="10"/>
    </row>
    <row r="59" customFormat="false" ht="15" hidden="false" customHeight="false" outlineLevel="0" collapsed="false">
      <c r="A59" s="63" t="n">
        <v>54</v>
      </c>
      <c r="B59" s="10"/>
      <c r="C59" s="10"/>
      <c r="D59" s="64" t="str">
        <f aca="false">IF(C59="","",C59&amp;"  |  BOX "&amp;COUNTIF($C$6:C59,C59)&amp;" OF "&amp;COUNTIF($C$6:$C$305,C59)&amp;IF(B59="","","  |  "&amp;B59))</f>
        <v/>
      </c>
      <c r="E59" s="10"/>
      <c r="F59" s="10"/>
      <c r="G59" s="10"/>
      <c r="H59" s="10"/>
      <c r="I59" s="10"/>
      <c r="J59" s="65" t="str">
        <f aca="false">IF(COUNT(G59:I59)=3,G59*H59*I59/1000000,"")</f>
        <v/>
      </c>
      <c r="K59" s="10"/>
      <c r="L59" s="10"/>
      <c r="M59" s="10"/>
    </row>
    <row r="60" customFormat="false" ht="15" hidden="false" customHeight="false" outlineLevel="0" collapsed="false">
      <c r="A60" s="63" t="n">
        <v>55</v>
      </c>
      <c r="B60" s="10"/>
      <c r="C60" s="10"/>
      <c r="D60" s="64" t="str">
        <f aca="false">IF(C60="","",C60&amp;"  |  BOX "&amp;COUNTIF($C$6:C60,C60)&amp;" OF "&amp;COUNTIF($C$6:$C$305,C60)&amp;IF(B60="","","  |  "&amp;B60))</f>
        <v/>
      </c>
      <c r="E60" s="10"/>
      <c r="F60" s="10"/>
      <c r="G60" s="10"/>
      <c r="H60" s="10"/>
      <c r="I60" s="10"/>
      <c r="J60" s="65" t="str">
        <f aca="false">IF(COUNT(G60:I60)=3,G60*H60*I60/1000000,"")</f>
        <v/>
      </c>
      <c r="K60" s="10"/>
      <c r="L60" s="10"/>
      <c r="M60" s="10"/>
    </row>
    <row r="61" customFormat="false" ht="15" hidden="false" customHeight="false" outlineLevel="0" collapsed="false">
      <c r="A61" s="63" t="n">
        <v>56</v>
      </c>
      <c r="B61" s="10"/>
      <c r="C61" s="10"/>
      <c r="D61" s="64" t="str">
        <f aca="false">IF(C61="","",C61&amp;"  |  BOX "&amp;COUNTIF($C$6:C61,C61)&amp;" OF "&amp;COUNTIF($C$6:$C$305,C61)&amp;IF(B61="","","  |  "&amp;B61))</f>
        <v/>
      </c>
      <c r="E61" s="10"/>
      <c r="F61" s="10"/>
      <c r="G61" s="10"/>
      <c r="H61" s="10"/>
      <c r="I61" s="10"/>
      <c r="J61" s="65" t="str">
        <f aca="false">IF(COUNT(G61:I61)=3,G61*H61*I61/1000000,"")</f>
        <v/>
      </c>
      <c r="K61" s="10"/>
      <c r="L61" s="10"/>
      <c r="M61" s="10"/>
    </row>
    <row r="62" customFormat="false" ht="15" hidden="false" customHeight="false" outlineLevel="0" collapsed="false">
      <c r="A62" s="63" t="n">
        <v>57</v>
      </c>
      <c r="B62" s="10"/>
      <c r="C62" s="10"/>
      <c r="D62" s="64" t="str">
        <f aca="false">IF(C62="","",C62&amp;"  |  BOX "&amp;COUNTIF($C$6:C62,C62)&amp;" OF "&amp;COUNTIF($C$6:$C$305,C62)&amp;IF(B62="","","  |  "&amp;B62))</f>
        <v/>
      </c>
      <c r="E62" s="10"/>
      <c r="F62" s="10"/>
      <c r="G62" s="10"/>
      <c r="H62" s="10"/>
      <c r="I62" s="10"/>
      <c r="J62" s="65" t="str">
        <f aca="false">IF(COUNT(G62:I62)=3,G62*H62*I62/1000000,"")</f>
        <v/>
      </c>
      <c r="K62" s="10"/>
      <c r="L62" s="10"/>
      <c r="M62" s="10"/>
    </row>
    <row r="63" customFormat="false" ht="15" hidden="false" customHeight="false" outlineLevel="0" collapsed="false">
      <c r="A63" s="63" t="n">
        <v>58</v>
      </c>
      <c r="B63" s="10"/>
      <c r="C63" s="10"/>
      <c r="D63" s="64" t="str">
        <f aca="false">IF(C63="","",C63&amp;"  |  BOX "&amp;COUNTIF($C$6:C63,C63)&amp;" OF "&amp;COUNTIF($C$6:$C$305,C63)&amp;IF(B63="","","  |  "&amp;B63))</f>
        <v/>
      </c>
      <c r="E63" s="10"/>
      <c r="F63" s="10"/>
      <c r="G63" s="10"/>
      <c r="H63" s="10"/>
      <c r="I63" s="10"/>
      <c r="J63" s="65" t="str">
        <f aca="false">IF(COUNT(G63:I63)=3,G63*H63*I63/1000000,"")</f>
        <v/>
      </c>
      <c r="K63" s="10"/>
      <c r="L63" s="10"/>
      <c r="M63" s="10"/>
    </row>
    <row r="64" customFormat="false" ht="15" hidden="false" customHeight="false" outlineLevel="0" collapsed="false">
      <c r="A64" s="63" t="n">
        <v>59</v>
      </c>
      <c r="B64" s="10"/>
      <c r="C64" s="10"/>
      <c r="D64" s="64" t="str">
        <f aca="false">IF(C64="","",C64&amp;"  |  BOX "&amp;COUNTIF($C$6:C64,C64)&amp;" OF "&amp;COUNTIF($C$6:$C$305,C64)&amp;IF(B64="","","  |  "&amp;B64))</f>
        <v/>
      </c>
      <c r="E64" s="10"/>
      <c r="F64" s="10"/>
      <c r="G64" s="10"/>
      <c r="H64" s="10"/>
      <c r="I64" s="10"/>
      <c r="J64" s="65" t="str">
        <f aca="false">IF(COUNT(G64:I64)=3,G64*H64*I64/1000000,"")</f>
        <v/>
      </c>
      <c r="K64" s="10"/>
      <c r="L64" s="10"/>
      <c r="M64" s="10"/>
    </row>
    <row r="65" customFormat="false" ht="15" hidden="false" customHeight="false" outlineLevel="0" collapsed="false">
      <c r="A65" s="63" t="n">
        <v>60</v>
      </c>
      <c r="B65" s="10"/>
      <c r="C65" s="10"/>
      <c r="D65" s="64" t="str">
        <f aca="false">IF(C65="","",C65&amp;"  |  BOX "&amp;COUNTIF($C$6:C65,C65)&amp;" OF "&amp;COUNTIF($C$6:$C$305,C65)&amp;IF(B65="","","  |  "&amp;B65))</f>
        <v/>
      </c>
      <c r="E65" s="10"/>
      <c r="F65" s="10"/>
      <c r="G65" s="10"/>
      <c r="H65" s="10"/>
      <c r="I65" s="10"/>
      <c r="J65" s="65" t="str">
        <f aca="false">IF(COUNT(G65:I65)=3,G65*H65*I65/1000000,"")</f>
        <v/>
      </c>
      <c r="K65" s="10"/>
      <c r="L65" s="10"/>
      <c r="M65" s="10"/>
    </row>
    <row r="66" customFormat="false" ht="15" hidden="false" customHeight="false" outlineLevel="0" collapsed="false">
      <c r="A66" s="63" t="n">
        <v>61</v>
      </c>
      <c r="B66" s="10"/>
      <c r="C66" s="10"/>
      <c r="D66" s="64" t="str">
        <f aca="false">IF(C66="","",C66&amp;"  |  BOX "&amp;COUNTIF($C$6:C66,C66)&amp;" OF "&amp;COUNTIF($C$6:$C$305,C66)&amp;IF(B66="","","  |  "&amp;B66))</f>
        <v/>
      </c>
      <c r="E66" s="10"/>
      <c r="F66" s="10"/>
      <c r="G66" s="10"/>
      <c r="H66" s="10"/>
      <c r="I66" s="10"/>
      <c r="J66" s="65" t="str">
        <f aca="false">IF(COUNT(G66:I66)=3,G66*H66*I66/1000000,"")</f>
        <v/>
      </c>
      <c r="K66" s="10"/>
      <c r="L66" s="10"/>
      <c r="M66" s="10"/>
    </row>
    <row r="67" customFormat="false" ht="15" hidden="false" customHeight="false" outlineLevel="0" collapsed="false">
      <c r="A67" s="63" t="n">
        <v>62</v>
      </c>
      <c r="B67" s="10"/>
      <c r="C67" s="10"/>
      <c r="D67" s="64" t="str">
        <f aca="false">IF(C67="","",C67&amp;"  |  BOX "&amp;COUNTIF($C$6:C67,C67)&amp;" OF "&amp;COUNTIF($C$6:$C$305,C67)&amp;IF(B67="","","  |  "&amp;B67))</f>
        <v/>
      </c>
      <c r="E67" s="10"/>
      <c r="F67" s="10"/>
      <c r="G67" s="10"/>
      <c r="H67" s="10"/>
      <c r="I67" s="10"/>
      <c r="J67" s="65" t="str">
        <f aca="false">IF(COUNT(G67:I67)=3,G67*H67*I67/1000000,"")</f>
        <v/>
      </c>
      <c r="K67" s="10"/>
      <c r="L67" s="10"/>
      <c r="M67" s="10"/>
    </row>
    <row r="68" customFormat="false" ht="15" hidden="false" customHeight="false" outlineLevel="0" collapsed="false">
      <c r="A68" s="63" t="n">
        <v>63</v>
      </c>
      <c r="B68" s="10"/>
      <c r="C68" s="10"/>
      <c r="D68" s="64" t="str">
        <f aca="false">IF(C68="","",C68&amp;"  |  BOX "&amp;COUNTIF($C$6:C68,C68)&amp;" OF "&amp;COUNTIF($C$6:$C$305,C68)&amp;IF(B68="","","  |  "&amp;B68))</f>
        <v/>
      </c>
      <c r="E68" s="10"/>
      <c r="F68" s="10"/>
      <c r="G68" s="10"/>
      <c r="H68" s="10"/>
      <c r="I68" s="10"/>
      <c r="J68" s="65" t="str">
        <f aca="false">IF(COUNT(G68:I68)=3,G68*H68*I68/1000000,"")</f>
        <v/>
      </c>
      <c r="K68" s="10"/>
      <c r="L68" s="10"/>
      <c r="M68" s="10"/>
    </row>
    <row r="69" customFormat="false" ht="15" hidden="false" customHeight="false" outlineLevel="0" collapsed="false">
      <c r="A69" s="63" t="n">
        <v>64</v>
      </c>
      <c r="B69" s="10"/>
      <c r="C69" s="10"/>
      <c r="D69" s="64" t="str">
        <f aca="false">IF(C69="","",C69&amp;"  |  BOX "&amp;COUNTIF($C$6:C69,C69)&amp;" OF "&amp;COUNTIF($C$6:$C$305,C69)&amp;IF(B69="","","  |  "&amp;B69))</f>
        <v/>
      </c>
      <c r="E69" s="10"/>
      <c r="F69" s="10"/>
      <c r="G69" s="10"/>
      <c r="H69" s="10"/>
      <c r="I69" s="10"/>
      <c r="J69" s="65" t="str">
        <f aca="false">IF(COUNT(G69:I69)=3,G69*H69*I69/1000000,"")</f>
        <v/>
      </c>
      <c r="K69" s="10"/>
      <c r="L69" s="10"/>
      <c r="M69" s="10"/>
    </row>
    <row r="70" customFormat="false" ht="15" hidden="false" customHeight="false" outlineLevel="0" collapsed="false">
      <c r="A70" s="63" t="n">
        <v>65</v>
      </c>
      <c r="B70" s="10"/>
      <c r="C70" s="10"/>
      <c r="D70" s="64" t="str">
        <f aca="false">IF(C70="","",C70&amp;"  |  BOX "&amp;COUNTIF($C$6:C70,C70)&amp;" OF "&amp;COUNTIF($C$6:$C$305,C70)&amp;IF(B70="","","  |  "&amp;B70))</f>
        <v/>
      </c>
      <c r="E70" s="10"/>
      <c r="F70" s="10"/>
      <c r="G70" s="10"/>
      <c r="H70" s="10"/>
      <c r="I70" s="10"/>
      <c r="J70" s="65" t="str">
        <f aca="false">IF(COUNT(G70:I70)=3,G70*H70*I70/1000000,"")</f>
        <v/>
      </c>
      <c r="K70" s="10"/>
      <c r="L70" s="10"/>
      <c r="M70" s="10"/>
    </row>
    <row r="71" customFormat="false" ht="15" hidden="false" customHeight="false" outlineLevel="0" collapsed="false">
      <c r="A71" s="63" t="n">
        <v>66</v>
      </c>
      <c r="B71" s="10"/>
      <c r="C71" s="10"/>
      <c r="D71" s="64" t="str">
        <f aca="false">IF(C71="","",C71&amp;"  |  BOX "&amp;COUNTIF($C$6:C71,C71)&amp;" OF "&amp;COUNTIF($C$6:$C$305,C71)&amp;IF(B71="","","  |  "&amp;B71))</f>
        <v/>
      </c>
      <c r="E71" s="10"/>
      <c r="F71" s="10"/>
      <c r="G71" s="10"/>
      <c r="H71" s="10"/>
      <c r="I71" s="10"/>
      <c r="J71" s="65" t="str">
        <f aca="false">IF(COUNT(G71:I71)=3,G71*H71*I71/1000000,"")</f>
        <v/>
      </c>
      <c r="K71" s="10"/>
      <c r="L71" s="10"/>
      <c r="M71" s="10"/>
    </row>
    <row r="72" customFormat="false" ht="15" hidden="false" customHeight="false" outlineLevel="0" collapsed="false">
      <c r="A72" s="63" t="n">
        <v>67</v>
      </c>
      <c r="B72" s="10"/>
      <c r="C72" s="10"/>
      <c r="D72" s="64" t="str">
        <f aca="false">IF(C72="","",C72&amp;"  |  BOX "&amp;COUNTIF($C$6:C72,C72)&amp;" OF "&amp;COUNTIF($C$6:$C$305,C72)&amp;IF(B72="","","  |  "&amp;B72))</f>
        <v/>
      </c>
      <c r="E72" s="10"/>
      <c r="F72" s="10"/>
      <c r="G72" s="10"/>
      <c r="H72" s="10"/>
      <c r="I72" s="10"/>
      <c r="J72" s="65" t="str">
        <f aca="false">IF(COUNT(G72:I72)=3,G72*H72*I72/1000000,"")</f>
        <v/>
      </c>
      <c r="K72" s="10"/>
      <c r="L72" s="10"/>
      <c r="M72" s="10"/>
    </row>
    <row r="73" customFormat="false" ht="15" hidden="false" customHeight="false" outlineLevel="0" collapsed="false">
      <c r="A73" s="63" t="n">
        <v>68</v>
      </c>
      <c r="B73" s="10"/>
      <c r="C73" s="10"/>
      <c r="D73" s="64" t="str">
        <f aca="false">IF(C73="","",C73&amp;"  |  BOX "&amp;COUNTIF($C$6:C73,C73)&amp;" OF "&amp;COUNTIF($C$6:$C$305,C73)&amp;IF(B73="","","  |  "&amp;B73))</f>
        <v/>
      </c>
      <c r="E73" s="10"/>
      <c r="F73" s="10"/>
      <c r="G73" s="10"/>
      <c r="H73" s="10"/>
      <c r="I73" s="10"/>
      <c r="J73" s="65" t="str">
        <f aca="false">IF(COUNT(G73:I73)=3,G73*H73*I73/1000000,"")</f>
        <v/>
      </c>
      <c r="K73" s="10"/>
      <c r="L73" s="10"/>
      <c r="M73" s="10"/>
    </row>
    <row r="74" customFormat="false" ht="15" hidden="false" customHeight="false" outlineLevel="0" collapsed="false">
      <c r="A74" s="63" t="n">
        <v>69</v>
      </c>
      <c r="B74" s="10"/>
      <c r="C74" s="10"/>
      <c r="D74" s="64" t="str">
        <f aca="false">IF(C74="","",C74&amp;"  |  BOX "&amp;COUNTIF($C$6:C74,C74)&amp;" OF "&amp;COUNTIF($C$6:$C$305,C74)&amp;IF(B74="","","  |  "&amp;B74))</f>
        <v/>
      </c>
      <c r="E74" s="10"/>
      <c r="F74" s="10"/>
      <c r="G74" s="10"/>
      <c r="H74" s="10"/>
      <c r="I74" s="10"/>
      <c r="J74" s="65" t="str">
        <f aca="false">IF(COUNT(G74:I74)=3,G74*H74*I74/1000000,"")</f>
        <v/>
      </c>
      <c r="K74" s="10"/>
      <c r="L74" s="10"/>
      <c r="M74" s="10"/>
    </row>
    <row r="75" customFormat="false" ht="15" hidden="false" customHeight="false" outlineLevel="0" collapsed="false">
      <c r="A75" s="63" t="n">
        <v>70</v>
      </c>
      <c r="B75" s="10"/>
      <c r="C75" s="10"/>
      <c r="D75" s="64" t="str">
        <f aca="false">IF(C75="","",C75&amp;"  |  BOX "&amp;COUNTIF($C$6:C75,C75)&amp;" OF "&amp;COUNTIF($C$6:$C$305,C75)&amp;IF(B75="","","  |  "&amp;B75))</f>
        <v/>
      </c>
      <c r="E75" s="10"/>
      <c r="F75" s="10"/>
      <c r="G75" s="10"/>
      <c r="H75" s="10"/>
      <c r="I75" s="10"/>
      <c r="J75" s="65" t="str">
        <f aca="false">IF(COUNT(G75:I75)=3,G75*H75*I75/1000000,"")</f>
        <v/>
      </c>
      <c r="K75" s="10"/>
      <c r="L75" s="10"/>
      <c r="M75" s="10"/>
    </row>
    <row r="76" customFormat="false" ht="15" hidden="false" customHeight="false" outlineLevel="0" collapsed="false">
      <c r="A76" s="63" t="n">
        <v>71</v>
      </c>
      <c r="B76" s="10"/>
      <c r="C76" s="10"/>
      <c r="D76" s="64" t="str">
        <f aca="false">IF(C76="","",C76&amp;"  |  BOX "&amp;COUNTIF($C$6:C76,C76)&amp;" OF "&amp;COUNTIF($C$6:$C$305,C76)&amp;IF(B76="","","  |  "&amp;B76))</f>
        <v/>
      </c>
      <c r="E76" s="10"/>
      <c r="F76" s="10"/>
      <c r="G76" s="10"/>
      <c r="H76" s="10"/>
      <c r="I76" s="10"/>
      <c r="J76" s="65" t="str">
        <f aca="false">IF(COUNT(G76:I76)=3,G76*H76*I76/1000000,"")</f>
        <v/>
      </c>
      <c r="K76" s="10"/>
      <c r="L76" s="10"/>
      <c r="M76" s="10"/>
    </row>
    <row r="77" customFormat="false" ht="15" hidden="false" customHeight="false" outlineLevel="0" collapsed="false">
      <c r="A77" s="63" t="n">
        <v>72</v>
      </c>
      <c r="B77" s="10"/>
      <c r="C77" s="10"/>
      <c r="D77" s="64" t="str">
        <f aca="false">IF(C77="","",C77&amp;"  |  BOX "&amp;COUNTIF($C$6:C77,C77)&amp;" OF "&amp;COUNTIF($C$6:$C$305,C77)&amp;IF(B77="","","  |  "&amp;B77))</f>
        <v/>
      </c>
      <c r="E77" s="10"/>
      <c r="F77" s="10"/>
      <c r="G77" s="10"/>
      <c r="H77" s="10"/>
      <c r="I77" s="10"/>
      <c r="J77" s="65" t="str">
        <f aca="false">IF(COUNT(G77:I77)=3,G77*H77*I77/1000000,"")</f>
        <v/>
      </c>
      <c r="K77" s="10"/>
      <c r="L77" s="10"/>
      <c r="M77" s="10"/>
    </row>
    <row r="78" customFormat="false" ht="15" hidden="false" customHeight="false" outlineLevel="0" collapsed="false">
      <c r="A78" s="63" t="n">
        <v>73</v>
      </c>
      <c r="B78" s="10"/>
      <c r="C78" s="10"/>
      <c r="D78" s="64" t="str">
        <f aca="false">IF(C78="","",C78&amp;"  |  BOX "&amp;COUNTIF($C$6:C78,C78)&amp;" OF "&amp;COUNTIF($C$6:$C$305,C78)&amp;IF(B78="","","  |  "&amp;B78))</f>
        <v/>
      </c>
      <c r="E78" s="10"/>
      <c r="F78" s="10"/>
      <c r="G78" s="10"/>
      <c r="H78" s="10"/>
      <c r="I78" s="10"/>
      <c r="J78" s="65" t="str">
        <f aca="false">IF(COUNT(G78:I78)=3,G78*H78*I78/1000000,"")</f>
        <v/>
      </c>
      <c r="K78" s="10"/>
      <c r="L78" s="10"/>
      <c r="M78" s="10"/>
    </row>
    <row r="79" customFormat="false" ht="15" hidden="false" customHeight="false" outlineLevel="0" collapsed="false">
      <c r="A79" s="63" t="n">
        <v>74</v>
      </c>
      <c r="B79" s="10"/>
      <c r="C79" s="10"/>
      <c r="D79" s="64" t="str">
        <f aca="false">IF(C79="","",C79&amp;"  |  BOX "&amp;COUNTIF($C$6:C79,C79)&amp;" OF "&amp;COUNTIF($C$6:$C$305,C79)&amp;IF(B79="","","  |  "&amp;B79))</f>
        <v/>
      </c>
      <c r="E79" s="10"/>
      <c r="F79" s="10"/>
      <c r="G79" s="10"/>
      <c r="H79" s="10"/>
      <c r="I79" s="10"/>
      <c r="J79" s="65" t="str">
        <f aca="false">IF(COUNT(G79:I79)=3,G79*H79*I79/1000000,"")</f>
        <v/>
      </c>
      <c r="K79" s="10"/>
      <c r="L79" s="10"/>
      <c r="M79" s="10"/>
    </row>
    <row r="80" customFormat="false" ht="15" hidden="false" customHeight="false" outlineLevel="0" collapsed="false">
      <c r="A80" s="63" t="n">
        <v>75</v>
      </c>
      <c r="B80" s="10"/>
      <c r="C80" s="10"/>
      <c r="D80" s="64" t="str">
        <f aca="false">IF(C80="","",C80&amp;"  |  BOX "&amp;COUNTIF($C$6:C80,C80)&amp;" OF "&amp;COUNTIF($C$6:$C$305,C80)&amp;IF(B80="","","  |  "&amp;B80))</f>
        <v/>
      </c>
      <c r="E80" s="10"/>
      <c r="F80" s="10"/>
      <c r="G80" s="10"/>
      <c r="H80" s="10"/>
      <c r="I80" s="10"/>
      <c r="J80" s="65" t="str">
        <f aca="false">IF(COUNT(G80:I80)=3,G80*H80*I80/1000000,"")</f>
        <v/>
      </c>
      <c r="K80" s="10"/>
      <c r="L80" s="10"/>
      <c r="M80" s="10"/>
    </row>
    <row r="81" customFormat="false" ht="15" hidden="false" customHeight="false" outlineLevel="0" collapsed="false">
      <c r="A81" s="63" t="n">
        <v>76</v>
      </c>
      <c r="B81" s="10"/>
      <c r="C81" s="10"/>
      <c r="D81" s="64" t="str">
        <f aca="false">IF(C81="","",C81&amp;"  |  BOX "&amp;COUNTIF($C$6:C81,C81)&amp;" OF "&amp;COUNTIF($C$6:$C$305,C81)&amp;IF(B81="","","  |  "&amp;B81))</f>
        <v/>
      </c>
      <c r="E81" s="10"/>
      <c r="F81" s="10"/>
      <c r="G81" s="10"/>
      <c r="H81" s="10"/>
      <c r="I81" s="10"/>
      <c r="J81" s="65" t="str">
        <f aca="false">IF(COUNT(G81:I81)=3,G81*H81*I81/1000000,"")</f>
        <v/>
      </c>
      <c r="K81" s="10"/>
      <c r="L81" s="10"/>
      <c r="M81" s="10"/>
    </row>
    <row r="82" customFormat="false" ht="15" hidden="false" customHeight="false" outlineLevel="0" collapsed="false">
      <c r="A82" s="63" t="n">
        <v>77</v>
      </c>
      <c r="B82" s="10"/>
      <c r="C82" s="10"/>
      <c r="D82" s="64" t="str">
        <f aca="false">IF(C82="","",C82&amp;"  |  BOX "&amp;COUNTIF($C$6:C82,C82)&amp;" OF "&amp;COUNTIF($C$6:$C$305,C82)&amp;IF(B82="","","  |  "&amp;B82))</f>
        <v/>
      </c>
      <c r="E82" s="10"/>
      <c r="F82" s="10"/>
      <c r="G82" s="10"/>
      <c r="H82" s="10"/>
      <c r="I82" s="10"/>
      <c r="J82" s="65" t="str">
        <f aca="false">IF(COUNT(G82:I82)=3,G82*H82*I82/1000000,"")</f>
        <v/>
      </c>
      <c r="K82" s="10"/>
      <c r="L82" s="10"/>
      <c r="M82" s="10"/>
    </row>
    <row r="83" customFormat="false" ht="15" hidden="false" customHeight="false" outlineLevel="0" collapsed="false">
      <c r="A83" s="63" t="n">
        <v>78</v>
      </c>
      <c r="B83" s="10"/>
      <c r="C83" s="10"/>
      <c r="D83" s="64" t="str">
        <f aca="false">IF(C83="","",C83&amp;"  |  BOX "&amp;COUNTIF($C$6:C83,C83)&amp;" OF "&amp;COUNTIF($C$6:$C$305,C83)&amp;IF(B83="","","  |  "&amp;B83))</f>
        <v/>
      </c>
      <c r="E83" s="10"/>
      <c r="F83" s="10"/>
      <c r="G83" s="10"/>
      <c r="H83" s="10"/>
      <c r="I83" s="10"/>
      <c r="J83" s="65" t="str">
        <f aca="false">IF(COUNT(G83:I83)=3,G83*H83*I83/1000000,"")</f>
        <v/>
      </c>
      <c r="K83" s="10"/>
      <c r="L83" s="10"/>
      <c r="M83" s="10"/>
    </row>
    <row r="84" customFormat="false" ht="15" hidden="false" customHeight="false" outlineLevel="0" collapsed="false">
      <c r="A84" s="63" t="n">
        <v>79</v>
      </c>
      <c r="B84" s="10"/>
      <c r="C84" s="10"/>
      <c r="D84" s="64" t="str">
        <f aca="false">IF(C84="","",C84&amp;"  |  BOX "&amp;COUNTIF($C$6:C84,C84)&amp;" OF "&amp;COUNTIF($C$6:$C$305,C84)&amp;IF(B84="","","  |  "&amp;B84))</f>
        <v/>
      </c>
      <c r="E84" s="10"/>
      <c r="F84" s="10"/>
      <c r="G84" s="10"/>
      <c r="H84" s="10"/>
      <c r="I84" s="10"/>
      <c r="J84" s="65" t="str">
        <f aca="false">IF(COUNT(G84:I84)=3,G84*H84*I84/1000000,"")</f>
        <v/>
      </c>
      <c r="K84" s="10"/>
      <c r="L84" s="10"/>
      <c r="M84" s="10"/>
    </row>
    <row r="85" customFormat="false" ht="15" hidden="false" customHeight="false" outlineLevel="0" collapsed="false">
      <c r="A85" s="63" t="n">
        <v>80</v>
      </c>
      <c r="B85" s="10"/>
      <c r="C85" s="10"/>
      <c r="D85" s="64" t="str">
        <f aca="false">IF(C85="","",C85&amp;"  |  BOX "&amp;COUNTIF($C$6:C85,C85)&amp;" OF "&amp;COUNTIF($C$6:$C$305,C85)&amp;IF(B85="","","  |  "&amp;B85))</f>
        <v/>
      </c>
      <c r="E85" s="10"/>
      <c r="F85" s="10"/>
      <c r="G85" s="10"/>
      <c r="H85" s="10"/>
      <c r="I85" s="10"/>
      <c r="J85" s="65" t="str">
        <f aca="false">IF(COUNT(G85:I85)=3,G85*H85*I85/1000000,"")</f>
        <v/>
      </c>
      <c r="K85" s="10"/>
      <c r="L85" s="10"/>
      <c r="M85" s="10"/>
    </row>
    <row r="86" customFormat="false" ht="15" hidden="false" customHeight="false" outlineLevel="0" collapsed="false">
      <c r="A86" s="63" t="n">
        <v>81</v>
      </c>
      <c r="B86" s="10"/>
      <c r="C86" s="10"/>
      <c r="D86" s="64" t="str">
        <f aca="false">IF(C86="","",C86&amp;"  |  BOX "&amp;COUNTIF($C$6:C86,C86)&amp;" OF "&amp;COUNTIF($C$6:$C$305,C86)&amp;IF(B86="","","  |  "&amp;B86))</f>
        <v/>
      </c>
      <c r="E86" s="10"/>
      <c r="F86" s="10"/>
      <c r="G86" s="10"/>
      <c r="H86" s="10"/>
      <c r="I86" s="10"/>
      <c r="J86" s="65" t="str">
        <f aca="false">IF(COUNT(G86:I86)=3,G86*H86*I86/1000000,"")</f>
        <v/>
      </c>
      <c r="K86" s="10"/>
      <c r="L86" s="10"/>
      <c r="M86" s="10"/>
    </row>
    <row r="87" customFormat="false" ht="15" hidden="false" customHeight="false" outlineLevel="0" collapsed="false">
      <c r="A87" s="63" t="n">
        <v>82</v>
      </c>
      <c r="B87" s="10"/>
      <c r="C87" s="10"/>
      <c r="D87" s="64" t="str">
        <f aca="false">IF(C87="","",C87&amp;"  |  BOX "&amp;COUNTIF($C$6:C87,C87)&amp;" OF "&amp;COUNTIF($C$6:$C$305,C87)&amp;IF(B87="","","  |  "&amp;B87))</f>
        <v/>
      </c>
      <c r="E87" s="10"/>
      <c r="F87" s="10"/>
      <c r="G87" s="10"/>
      <c r="H87" s="10"/>
      <c r="I87" s="10"/>
      <c r="J87" s="65" t="str">
        <f aca="false">IF(COUNT(G87:I87)=3,G87*H87*I87/1000000,"")</f>
        <v/>
      </c>
      <c r="K87" s="10"/>
      <c r="L87" s="10"/>
      <c r="M87" s="10"/>
    </row>
    <row r="88" customFormat="false" ht="15" hidden="false" customHeight="false" outlineLevel="0" collapsed="false">
      <c r="A88" s="63" t="n">
        <v>83</v>
      </c>
      <c r="B88" s="10"/>
      <c r="C88" s="10"/>
      <c r="D88" s="64" t="str">
        <f aca="false">IF(C88="","",C88&amp;"  |  BOX "&amp;COUNTIF($C$6:C88,C88)&amp;" OF "&amp;COUNTIF($C$6:$C$305,C88)&amp;IF(B88="","","  |  "&amp;B88))</f>
        <v/>
      </c>
      <c r="E88" s="10"/>
      <c r="F88" s="10"/>
      <c r="G88" s="10"/>
      <c r="H88" s="10"/>
      <c r="I88" s="10"/>
      <c r="J88" s="65" t="str">
        <f aca="false">IF(COUNT(G88:I88)=3,G88*H88*I88/1000000,"")</f>
        <v/>
      </c>
      <c r="K88" s="10"/>
      <c r="L88" s="10"/>
      <c r="M88" s="10"/>
    </row>
    <row r="89" customFormat="false" ht="15" hidden="false" customHeight="false" outlineLevel="0" collapsed="false">
      <c r="A89" s="63" t="n">
        <v>84</v>
      </c>
      <c r="B89" s="10"/>
      <c r="C89" s="10"/>
      <c r="D89" s="64" t="str">
        <f aca="false">IF(C89="","",C89&amp;"  |  BOX "&amp;COUNTIF($C$6:C89,C89)&amp;" OF "&amp;COUNTIF($C$6:$C$305,C89)&amp;IF(B89="","","  |  "&amp;B89))</f>
        <v/>
      </c>
      <c r="E89" s="10"/>
      <c r="F89" s="10"/>
      <c r="G89" s="10"/>
      <c r="H89" s="10"/>
      <c r="I89" s="10"/>
      <c r="J89" s="65" t="str">
        <f aca="false">IF(COUNT(G89:I89)=3,G89*H89*I89/1000000,"")</f>
        <v/>
      </c>
      <c r="K89" s="10"/>
      <c r="L89" s="10"/>
      <c r="M89" s="10"/>
    </row>
    <row r="90" customFormat="false" ht="15" hidden="false" customHeight="false" outlineLevel="0" collapsed="false">
      <c r="A90" s="63" t="n">
        <v>85</v>
      </c>
      <c r="B90" s="10"/>
      <c r="C90" s="10"/>
      <c r="D90" s="64" t="str">
        <f aca="false">IF(C90="","",C90&amp;"  |  BOX "&amp;COUNTIF($C$6:C90,C90)&amp;" OF "&amp;COUNTIF($C$6:$C$305,C90)&amp;IF(B90="","","  |  "&amp;B90))</f>
        <v/>
      </c>
      <c r="E90" s="10"/>
      <c r="F90" s="10"/>
      <c r="G90" s="10"/>
      <c r="H90" s="10"/>
      <c r="I90" s="10"/>
      <c r="J90" s="65" t="str">
        <f aca="false">IF(COUNT(G90:I90)=3,G90*H90*I90/1000000,"")</f>
        <v/>
      </c>
      <c r="K90" s="10"/>
      <c r="L90" s="10"/>
      <c r="M90" s="10"/>
    </row>
    <row r="91" customFormat="false" ht="15" hidden="false" customHeight="false" outlineLevel="0" collapsed="false">
      <c r="A91" s="63" t="n">
        <v>86</v>
      </c>
      <c r="B91" s="10"/>
      <c r="C91" s="10"/>
      <c r="D91" s="64" t="str">
        <f aca="false">IF(C91="","",C91&amp;"  |  BOX "&amp;COUNTIF($C$6:C91,C91)&amp;" OF "&amp;COUNTIF($C$6:$C$305,C91)&amp;IF(B91="","","  |  "&amp;B91))</f>
        <v/>
      </c>
      <c r="E91" s="10"/>
      <c r="F91" s="10"/>
      <c r="G91" s="10"/>
      <c r="H91" s="10"/>
      <c r="I91" s="10"/>
      <c r="J91" s="65" t="str">
        <f aca="false">IF(COUNT(G91:I91)=3,G91*H91*I91/1000000,"")</f>
        <v/>
      </c>
      <c r="K91" s="10"/>
      <c r="L91" s="10"/>
      <c r="M91" s="10"/>
    </row>
    <row r="92" customFormat="false" ht="15" hidden="false" customHeight="false" outlineLevel="0" collapsed="false">
      <c r="A92" s="63" t="n">
        <v>87</v>
      </c>
      <c r="B92" s="10"/>
      <c r="C92" s="10"/>
      <c r="D92" s="64" t="str">
        <f aca="false">IF(C92="","",C92&amp;"  |  BOX "&amp;COUNTIF($C$6:C92,C92)&amp;" OF "&amp;COUNTIF($C$6:$C$305,C92)&amp;IF(B92="","","  |  "&amp;B92))</f>
        <v/>
      </c>
      <c r="E92" s="10"/>
      <c r="F92" s="10"/>
      <c r="G92" s="10"/>
      <c r="H92" s="10"/>
      <c r="I92" s="10"/>
      <c r="J92" s="65" t="str">
        <f aca="false">IF(COUNT(G92:I92)=3,G92*H92*I92/1000000,"")</f>
        <v/>
      </c>
      <c r="K92" s="10"/>
      <c r="L92" s="10"/>
      <c r="M92" s="10"/>
    </row>
    <row r="93" customFormat="false" ht="15" hidden="false" customHeight="false" outlineLevel="0" collapsed="false">
      <c r="A93" s="63" t="n">
        <v>88</v>
      </c>
      <c r="B93" s="10"/>
      <c r="C93" s="10"/>
      <c r="D93" s="64" t="str">
        <f aca="false">IF(C93="","",C93&amp;"  |  BOX "&amp;COUNTIF($C$6:C93,C93)&amp;" OF "&amp;COUNTIF($C$6:$C$305,C93)&amp;IF(B93="","","  |  "&amp;B93))</f>
        <v/>
      </c>
      <c r="E93" s="10"/>
      <c r="F93" s="10"/>
      <c r="G93" s="10"/>
      <c r="H93" s="10"/>
      <c r="I93" s="10"/>
      <c r="J93" s="65" t="str">
        <f aca="false">IF(COUNT(G93:I93)=3,G93*H93*I93/1000000,"")</f>
        <v/>
      </c>
      <c r="K93" s="10"/>
      <c r="L93" s="10"/>
      <c r="M93" s="10"/>
    </row>
    <row r="94" customFormat="false" ht="15" hidden="false" customHeight="false" outlineLevel="0" collapsed="false">
      <c r="A94" s="63" t="n">
        <v>89</v>
      </c>
      <c r="B94" s="10"/>
      <c r="C94" s="10"/>
      <c r="D94" s="64" t="str">
        <f aca="false">IF(C94="","",C94&amp;"  |  BOX "&amp;COUNTIF($C$6:C94,C94)&amp;" OF "&amp;COUNTIF($C$6:$C$305,C94)&amp;IF(B94="","","  |  "&amp;B94))</f>
        <v/>
      </c>
      <c r="E94" s="10"/>
      <c r="F94" s="10"/>
      <c r="G94" s="10"/>
      <c r="H94" s="10"/>
      <c r="I94" s="10"/>
      <c r="J94" s="65" t="str">
        <f aca="false">IF(COUNT(G94:I94)=3,G94*H94*I94/1000000,"")</f>
        <v/>
      </c>
      <c r="K94" s="10"/>
      <c r="L94" s="10"/>
      <c r="M94" s="10"/>
    </row>
    <row r="95" customFormat="false" ht="15" hidden="false" customHeight="false" outlineLevel="0" collapsed="false">
      <c r="A95" s="63" t="n">
        <v>90</v>
      </c>
      <c r="B95" s="10"/>
      <c r="C95" s="10"/>
      <c r="D95" s="64" t="str">
        <f aca="false">IF(C95="","",C95&amp;"  |  BOX "&amp;COUNTIF($C$6:C95,C95)&amp;" OF "&amp;COUNTIF($C$6:$C$305,C95)&amp;IF(B95="","","  |  "&amp;B95))</f>
        <v/>
      </c>
      <c r="E95" s="10"/>
      <c r="F95" s="10"/>
      <c r="G95" s="10"/>
      <c r="H95" s="10"/>
      <c r="I95" s="10"/>
      <c r="J95" s="65" t="str">
        <f aca="false">IF(COUNT(G95:I95)=3,G95*H95*I95/1000000,"")</f>
        <v/>
      </c>
      <c r="K95" s="10"/>
      <c r="L95" s="10"/>
      <c r="M95" s="10"/>
    </row>
    <row r="96" customFormat="false" ht="15" hidden="false" customHeight="false" outlineLevel="0" collapsed="false">
      <c r="A96" s="63" t="n">
        <v>91</v>
      </c>
      <c r="B96" s="10"/>
      <c r="C96" s="10"/>
      <c r="D96" s="64" t="str">
        <f aca="false">IF(C96="","",C96&amp;"  |  BOX "&amp;COUNTIF($C$6:C96,C96)&amp;" OF "&amp;COUNTIF($C$6:$C$305,C96)&amp;IF(B96="","","  |  "&amp;B96))</f>
        <v/>
      </c>
      <c r="E96" s="10"/>
      <c r="F96" s="10"/>
      <c r="G96" s="10"/>
      <c r="H96" s="10"/>
      <c r="I96" s="10"/>
      <c r="J96" s="65" t="str">
        <f aca="false">IF(COUNT(G96:I96)=3,G96*H96*I96/1000000,"")</f>
        <v/>
      </c>
      <c r="K96" s="10"/>
      <c r="L96" s="10"/>
      <c r="M96" s="10"/>
    </row>
    <row r="97" customFormat="false" ht="15" hidden="false" customHeight="false" outlineLevel="0" collapsed="false">
      <c r="A97" s="63" t="n">
        <v>92</v>
      </c>
      <c r="B97" s="10"/>
      <c r="C97" s="10"/>
      <c r="D97" s="64" t="str">
        <f aca="false">IF(C97="","",C97&amp;"  |  BOX "&amp;COUNTIF($C$6:C97,C97)&amp;" OF "&amp;COUNTIF($C$6:$C$305,C97)&amp;IF(B97="","","  |  "&amp;B97))</f>
        <v/>
      </c>
      <c r="E97" s="10"/>
      <c r="F97" s="10"/>
      <c r="G97" s="10"/>
      <c r="H97" s="10"/>
      <c r="I97" s="10"/>
      <c r="J97" s="65" t="str">
        <f aca="false">IF(COUNT(G97:I97)=3,G97*H97*I97/1000000,"")</f>
        <v/>
      </c>
      <c r="K97" s="10"/>
      <c r="L97" s="10"/>
      <c r="M97" s="10"/>
    </row>
    <row r="98" customFormat="false" ht="15" hidden="false" customHeight="false" outlineLevel="0" collapsed="false">
      <c r="A98" s="63" t="n">
        <v>93</v>
      </c>
      <c r="B98" s="10"/>
      <c r="C98" s="10"/>
      <c r="D98" s="64" t="str">
        <f aca="false">IF(C98="","",C98&amp;"  |  BOX "&amp;COUNTIF($C$6:C98,C98)&amp;" OF "&amp;COUNTIF($C$6:$C$305,C98)&amp;IF(B98="","","  |  "&amp;B98))</f>
        <v/>
      </c>
      <c r="E98" s="10"/>
      <c r="F98" s="10"/>
      <c r="G98" s="10"/>
      <c r="H98" s="10"/>
      <c r="I98" s="10"/>
      <c r="J98" s="65" t="str">
        <f aca="false">IF(COUNT(G98:I98)=3,G98*H98*I98/1000000,"")</f>
        <v/>
      </c>
      <c r="K98" s="10"/>
      <c r="L98" s="10"/>
      <c r="M98" s="10"/>
    </row>
    <row r="99" customFormat="false" ht="15" hidden="false" customHeight="false" outlineLevel="0" collapsed="false">
      <c r="A99" s="63" t="n">
        <v>94</v>
      </c>
      <c r="B99" s="10"/>
      <c r="C99" s="10"/>
      <c r="D99" s="64" t="str">
        <f aca="false">IF(C99="","",C99&amp;"  |  BOX "&amp;COUNTIF($C$6:C99,C99)&amp;" OF "&amp;COUNTIF($C$6:$C$305,C99)&amp;IF(B99="","","  |  "&amp;B99))</f>
        <v/>
      </c>
      <c r="E99" s="10"/>
      <c r="F99" s="10"/>
      <c r="G99" s="10"/>
      <c r="H99" s="10"/>
      <c r="I99" s="10"/>
      <c r="J99" s="65" t="str">
        <f aca="false">IF(COUNT(G99:I99)=3,G99*H99*I99/1000000,"")</f>
        <v/>
      </c>
      <c r="K99" s="10"/>
      <c r="L99" s="10"/>
      <c r="M99" s="10"/>
    </row>
    <row r="100" customFormat="false" ht="15" hidden="false" customHeight="false" outlineLevel="0" collapsed="false">
      <c r="A100" s="63" t="n">
        <v>95</v>
      </c>
      <c r="B100" s="10"/>
      <c r="C100" s="10"/>
      <c r="D100" s="64" t="str">
        <f aca="false">IF(C100="","",C100&amp;"  |  BOX "&amp;COUNTIF($C$6:C100,C100)&amp;" OF "&amp;COUNTIF($C$6:$C$305,C100)&amp;IF(B100="","","  |  "&amp;B100))</f>
        <v/>
      </c>
      <c r="E100" s="10"/>
      <c r="F100" s="10"/>
      <c r="G100" s="10"/>
      <c r="H100" s="10"/>
      <c r="I100" s="10"/>
      <c r="J100" s="65" t="str">
        <f aca="false">IF(COUNT(G100:I100)=3,G100*H100*I100/1000000,"")</f>
        <v/>
      </c>
      <c r="K100" s="10"/>
      <c r="L100" s="10"/>
      <c r="M100" s="10"/>
    </row>
    <row r="101" customFormat="false" ht="15" hidden="false" customHeight="false" outlineLevel="0" collapsed="false">
      <c r="A101" s="63" t="n">
        <v>96</v>
      </c>
      <c r="B101" s="10"/>
      <c r="C101" s="10"/>
      <c r="D101" s="64" t="str">
        <f aca="false">IF(C101="","",C101&amp;"  |  BOX "&amp;COUNTIF($C$6:C101,C101)&amp;" OF "&amp;COUNTIF($C$6:$C$305,C101)&amp;IF(B101="","","  |  "&amp;B101))</f>
        <v/>
      </c>
      <c r="E101" s="10"/>
      <c r="F101" s="10"/>
      <c r="G101" s="10"/>
      <c r="H101" s="10"/>
      <c r="I101" s="10"/>
      <c r="J101" s="65" t="str">
        <f aca="false">IF(COUNT(G101:I101)=3,G101*H101*I101/1000000,"")</f>
        <v/>
      </c>
      <c r="K101" s="10"/>
      <c r="L101" s="10"/>
      <c r="M101" s="10"/>
    </row>
    <row r="102" customFormat="false" ht="15" hidden="false" customHeight="false" outlineLevel="0" collapsed="false">
      <c r="A102" s="63" t="n">
        <v>97</v>
      </c>
      <c r="B102" s="10"/>
      <c r="C102" s="10"/>
      <c r="D102" s="64" t="str">
        <f aca="false">IF(C102="","",C102&amp;"  |  BOX "&amp;COUNTIF($C$6:C102,C102)&amp;" OF "&amp;COUNTIF($C$6:$C$305,C102)&amp;IF(B102="","","  |  "&amp;B102))</f>
        <v/>
      </c>
      <c r="E102" s="10"/>
      <c r="F102" s="10"/>
      <c r="G102" s="10"/>
      <c r="H102" s="10"/>
      <c r="I102" s="10"/>
      <c r="J102" s="65" t="str">
        <f aca="false">IF(COUNT(G102:I102)=3,G102*H102*I102/1000000,"")</f>
        <v/>
      </c>
      <c r="K102" s="10"/>
      <c r="L102" s="10"/>
      <c r="M102" s="10"/>
    </row>
    <row r="103" customFormat="false" ht="15" hidden="false" customHeight="false" outlineLevel="0" collapsed="false">
      <c r="A103" s="63" t="n">
        <v>98</v>
      </c>
      <c r="B103" s="10"/>
      <c r="C103" s="10"/>
      <c r="D103" s="64" t="str">
        <f aca="false">IF(C103="","",C103&amp;"  |  BOX "&amp;COUNTIF($C$6:C103,C103)&amp;" OF "&amp;COUNTIF($C$6:$C$305,C103)&amp;IF(B103="","","  |  "&amp;B103))</f>
        <v/>
      </c>
      <c r="E103" s="10"/>
      <c r="F103" s="10"/>
      <c r="G103" s="10"/>
      <c r="H103" s="10"/>
      <c r="I103" s="10"/>
      <c r="J103" s="65" t="str">
        <f aca="false">IF(COUNT(G103:I103)=3,G103*H103*I103/1000000,"")</f>
        <v/>
      </c>
      <c r="K103" s="10"/>
      <c r="L103" s="10"/>
      <c r="M103" s="10"/>
    </row>
    <row r="104" customFormat="false" ht="15" hidden="false" customHeight="false" outlineLevel="0" collapsed="false">
      <c r="A104" s="63" t="n">
        <v>99</v>
      </c>
      <c r="B104" s="10"/>
      <c r="C104" s="10"/>
      <c r="D104" s="64" t="str">
        <f aca="false">IF(C104="","",C104&amp;"  |  BOX "&amp;COUNTIF($C$6:C104,C104)&amp;" OF "&amp;COUNTIF($C$6:$C$305,C104)&amp;IF(B104="","","  |  "&amp;B104))</f>
        <v/>
      </c>
      <c r="E104" s="10"/>
      <c r="F104" s="10"/>
      <c r="G104" s="10"/>
      <c r="H104" s="10"/>
      <c r="I104" s="10"/>
      <c r="J104" s="65" t="str">
        <f aca="false">IF(COUNT(G104:I104)=3,G104*H104*I104/1000000,"")</f>
        <v/>
      </c>
      <c r="K104" s="10"/>
      <c r="L104" s="10"/>
      <c r="M104" s="10"/>
    </row>
    <row r="105" customFormat="false" ht="15" hidden="false" customHeight="false" outlineLevel="0" collapsed="false">
      <c r="A105" s="63" t="n">
        <v>100</v>
      </c>
      <c r="B105" s="10"/>
      <c r="C105" s="10"/>
      <c r="D105" s="64" t="str">
        <f aca="false">IF(C105="","",C105&amp;"  |  BOX "&amp;COUNTIF($C$6:C105,C105)&amp;" OF "&amp;COUNTIF($C$6:$C$305,C105)&amp;IF(B105="","","  |  "&amp;B105))</f>
        <v/>
      </c>
      <c r="E105" s="10"/>
      <c r="F105" s="10"/>
      <c r="G105" s="10"/>
      <c r="H105" s="10"/>
      <c r="I105" s="10"/>
      <c r="J105" s="65" t="str">
        <f aca="false">IF(COUNT(G105:I105)=3,G105*H105*I105/1000000,"")</f>
        <v/>
      </c>
      <c r="K105" s="10"/>
      <c r="L105" s="10"/>
      <c r="M105" s="10"/>
    </row>
    <row r="106" customFormat="false" ht="15" hidden="false" customHeight="false" outlineLevel="0" collapsed="false">
      <c r="A106" s="63" t="n">
        <v>101</v>
      </c>
      <c r="B106" s="10"/>
      <c r="C106" s="10"/>
      <c r="D106" s="64" t="str">
        <f aca="false">IF(C106="","",C106&amp;"  |  BOX "&amp;COUNTIF($C$6:C106,C106)&amp;" OF "&amp;COUNTIF($C$6:$C$305,C106)&amp;IF(B106="","","  |  "&amp;B106))</f>
        <v/>
      </c>
      <c r="E106" s="10"/>
      <c r="F106" s="10"/>
      <c r="G106" s="10"/>
      <c r="H106" s="10"/>
      <c r="I106" s="10"/>
      <c r="J106" s="65" t="str">
        <f aca="false">IF(COUNT(G106:I106)=3,G106*H106*I106/1000000,"")</f>
        <v/>
      </c>
      <c r="K106" s="10"/>
      <c r="L106" s="10"/>
      <c r="M106" s="10"/>
    </row>
    <row r="107" customFormat="false" ht="15" hidden="false" customHeight="false" outlineLevel="0" collapsed="false">
      <c r="A107" s="63" t="n">
        <v>102</v>
      </c>
      <c r="B107" s="10"/>
      <c r="C107" s="10"/>
      <c r="D107" s="64" t="str">
        <f aca="false">IF(C107="","",C107&amp;"  |  BOX "&amp;COUNTIF($C$6:C107,C107)&amp;" OF "&amp;COUNTIF($C$6:$C$305,C107)&amp;IF(B107="","","  |  "&amp;B107))</f>
        <v/>
      </c>
      <c r="E107" s="10"/>
      <c r="F107" s="10"/>
      <c r="G107" s="10"/>
      <c r="H107" s="10"/>
      <c r="I107" s="10"/>
      <c r="J107" s="65" t="str">
        <f aca="false">IF(COUNT(G107:I107)=3,G107*H107*I107/1000000,"")</f>
        <v/>
      </c>
      <c r="K107" s="10"/>
      <c r="L107" s="10"/>
      <c r="M107" s="10"/>
    </row>
    <row r="108" customFormat="false" ht="15" hidden="false" customHeight="false" outlineLevel="0" collapsed="false">
      <c r="A108" s="63" t="n">
        <v>103</v>
      </c>
      <c r="B108" s="10"/>
      <c r="C108" s="10"/>
      <c r="D108" s="64" t="str">
        <f aca="false">IF(C108="","",C108&amp;"  |  BOX "&amp;COUNTIF($C$6:C108,C108)&amp;" OF "&amp;COUNTIF($C$6:$C$305,C108)&amp;IF(B108="","","  |  "&amp;B108))</f>
        <v/>
      </c>
      <c r="E108" s="10"/>
      <c r="F108" s="10"/>
      <c r="G108" s="10"/>
      <c r="H108" s="10"/>
      <c r="I108" s="10"/>
      <c r="J108" s="65" t="str">
        <f aca="false">IF(COUNT(G108:I108)=3,G108*H108*I108/1000000,"")</f>
        <v/>
      </c>
      <c r="K108" s="10"/>
      <c r="L108" s="10"/>
      <c r="M108" s="10"/>
    </row>
    <row r="109" customFormat="false" ht="15" hidden="false" customHeight="false" outlineLevel="0" collapsed="false">
      <c r="A109" s="63" t="n">
        <v>104</v>
      </c>
      <c r="B109" s="10"/>
      <c r="C109" s="10"/>
      <c r="D109" s="64" t="str">
        <f aca="false">IF(C109="","",C109&amp;"  |  BOX "&amp;COUNTIF($C$6:C109,C109)&amp;" OF "&amp;COUNTIF($C$6:$C$305,C109)&amp;IF(B109="","","  |  "&amp;B109))</f>
        <v/>
      </c>
      <c r="E109" s="10"/>
      <c r="F109" s="10"/>
      <c r="G109" s="10"/>
      <c r="H109" s="10"/>
      <c r="I109" s="10"/>
      <c r="J109" s="65" t="str">
        <f aca="false">IF(COUNT(G109:I109)=3,G109*H109*I109/1000000,"")</f>
        <v/>
      </c>
      <c r="K109" s="10"/>
      <c r="L109" s="10"/>
      <c r="M109" s="10"/>
    </row>
    <row r="110" customFormat="false" ht="15" hidden="false" customHeight="false" outlineLevel="0" collapsed="false">
      <c r="A110" s="63" t="n">
        <v>105</v>
      </c>
      <c r="B110" s="10"/>
      <c r="C110" s="10"/>
      <c r="D110" s="64" t="str">
        <f aca="false">IF(C110="","",C110&amp;"  |  BOX "&amp;COUNTIF($C$6:C110,C110)&amp;" OF "&amp;COUNTIF($C$6:$C$305,C110)&amp;IF(B110="","","  |  "&amp;B110))</f>
        <v/>
      </c>
      <c r="E110" s="10"/>
      <c r="F110" s="10"/>
      <c r="G110" s="10"/>
      <c r="H110" s="10"/>
      <c r="I110" s="10"/>
      <c r="J110" s="65" t="str">
        <f aca="false">IF(COUNT(G110:I110)=3,G110*H110*I110/1000000,"")</f>
        <v/>
      </c>
      <c r="K110" s="10"/>
      <c r="L110" s="10"/>
      <c r="M110" s="10"/>
    </row>
    <row r="111" customFormat="false" ht="15" hidden="false" customHeight="false" outlineLevel="0" collapsed="false">
      <c r="A111" s="63" t="n">
        <v>106</v>
      </c>
      <c r="B111" s="10"/>
      <c r="C111" s="10"/>
      <c r="D111" s="64" t="str">
        <f aca="false">IF(C111="","",C111&amp;"  |  BOX "&amp;COUNTIF($C$6:C111,C111)&amp;" OF "&amp;COUNTIF($C$6:$C$305,C111)&amp;IF(B111="","","  |  "&amp;B111))</f>
        <v/>
      </c>
      <c r="E111" s="10"/>
      <c r="F111" s="10"/>
      <c r="G111" s="10"/>
      <c r="H111" s="10"/>
      <c r="I111" s="10"/>
      <c r="J111" s="65" t="str">
        <f aca="false">IF(COUNT(G111:I111)=3,G111*H111*I111/1000000,"")</f>
        <v/>
      </c>
      <c r="K111" s="10"/>
      <c r="L111" s="10"/>
      <c r="M111" s="10"/>
    </row>
    <row r="112" customFormat="false" ht="15" hidden="false" customHeight="false" outlineLevel="0" collapsed="false">
      <c r="A112" s="63" t="n">
        <v>107</v>
      </c>
      <c r="B112" s="10"/>
      <c r="C112" s="10"/>
      <c r="D112" s="64" t="str">
        <f aca="false">IF(C112="","",C112&amp;"  |  BOX "&amp;COUNTIF($C$6:C112,C112)&amp;" OF "&amp;COUNTIF($C$6:$C$305,C112)&amp;IF(B112="","","  |  "&amp;B112))</f>
        <v/>
      </c>
      <c r="E112" s="10"/>
      <c r="F112" s="10"/>
      <c r="G112" s="10"/>
      <c r="H112" s="10"/>
      <c r="I112" s="10"/>
      <c r="J112" s="65" t="str">
        <f aca="false">IF(COUNT(G112:I112)=3,G112*H112*I112/1000000,"")</f>
        <v/>
      </c>
      <c r="K112" s="10"/>
      <c r="L112" s="10"/>
      <c r="M112" s="10"/>
    </row>
    <row r="113" customFormat="false" ht="15" hidden="false" customHeight="false" outlineLevel="0" collapsed="false">
      <c r="A113" s="63" t="n">
        <v>108</v>
      </c>
      <c r="B113" s="10"/>
      <c r="C113" s="10"/>
      <c r="D113" s="64" t="str">
        <f aca="false">IF(C113="","",C113&amp;"  |  BOX "&amp;COUNTIF($C$6:C113,C113)&amp;" OF "&amp;COUNTIF($C$6:$C$305,C113)&amp;IF(B113="","","  |  "&amp;B113))</f>
        <v/>
      </c>
      <c r="E113" s="10"/>
      <c r="F113" s="10"/>
      <c r="G113" s="10"/>
      <c r="H113" s="10"/>
      <c r="I113" s="10"/>
      <c r="J113" s="65" t="str">
        <f aca="false">IF(COUNT(G113:I113)=3,G113*H113*I113/1000000,"")</f>
        <v/>
      </c>
      <c r="K113" s="10"/>
      <c r="L113" s="10"/>
      <c r="M113" s="10"/>
    </row>
    <row r="114" customFormat="false" ht="15" hidden="false" customHeight="false" outlineLevel="0" collapsed="false">
      <c r="A114" s="63" t="n">
        <v>109</v>
      </c>
      <c r="B114" s="10"/>
      <c r="C114" s="10"/>
      <c r="D114" s="64" t="str">
        <f aca="false">IF(C114="","",C114&amp;"  |  BOX "&amp;COUNTIF($C$6:C114,C114)&amp;" OF "&amp;COUNTIF($C$6:$C$305,C114)&amp;IF(B114="","","  |  "&amp;B114))</f>
        <v/>
      </c>
      <c r="E114" s="10"/>
      <c r="F114" s="10"/>
      <c r="G114" s="10"/>
      <c r="H114" s="10"/>
      <c r="I114" s="10"/>
      <c r="J114" s="65" t="str">
        <f aca="false">IF(COUNT(G114:I114)=3,G114*H114*I114/1000000,"")</f>
        <v/>
      </c>
      <c r="K114" s="10"/>
      <c r="L114" s="10"/>
      <c r="M114" s="10"/>
    </row>
    <row r="115" customFormat="false" ht="15" hidden="false" customHeight="false" outlineLevel="0" collapsed="false">
      <c r="A115" s="63" t="n">
        <v>110</v>
      </c>
      <c r="B115" s="10"/>
      <c r="C115" s="10"/>
      <c r="D115" s="64" t="str">
        <f aca="false">IF(C115="","",C115&amp;"  |  BOX "&amp;COUNTIF($C$6:C115,C115)&amp;" OF "&amp;COUNTIF($C$6:$C$305,C115)&amp;IF(B115="","","  |  "&amp;B115))</f>
        <v/>
      </c>
      <c r="E115" s="10"/>
      <c r="F115" s="10"/>
      <c r="G115" s="10"/>
      <c r="H115" s="10"/>
      <c r="I115" s="10"/>
      <c r="J115" s="65" t="str">
        <f aca="false">IF(COUNT(G115:I115)=3,G115*H115*I115/1000000,"")</f>
        <v/>
      </c>
      <c r="K115" s="10"/>
      <c r="L115" s="10"/>
      <c r="M115" s="10"/>
    </row>
    <row r="116" customFormat="false" ht="15" hidden="false" customHeight="false" outlineLevel="0" collapsed="false">
      <c r="A116" s="63" t="n">
        <v>111</v>
      </c>
      <c r="B116" s="10"/>
      <c r="C116" s="10"/>
      <c r="D116" s="64" t="str">
        <f aca="false">IF(C116="","",C116&amp;"  |  BOX "&amp;COUNTIF($C$6:C116,C116)&amp;" OF "&amp;COUNTIF($C$6:$C$305,C116)&amp;IF(B116="","","  |  "&amp;B116))</f>
        <v/>
      </c>
      <c r="E116" s="10"/>
      <c r="F116" s="10"/>
      <c r="G116" s="10"/>
      <c r="H116" s="10"/>
      <c r="I116" s="10"/>
      <c r="J116" s="65" t="str">
        <f aca="false">IF(COUNT(G116:I116)=3,G116*H116*I116/1000000,"")</f>
        <v/>
      </c>
      <c r="K116" s="10"/>
      <c r="L116" s="10"/>
      <c r="M116" s="10"/>
    </row>
    <row r="117" customFormat="false" ht="15" hidden="false" customHeight="false" outlineLevel="0" collapsed="false">
      <c r="A117" s="63" t="n">
        <v>112</v>
      </c>
      <c r="B117" s="10"/>
      <c r="C117" s="10"/>
      <c r="D117" s="64" t="str">
        <f aca="false">IF(C117="","",C117&amp;"  |  BOX "&amp;COUNTIF($C$6:C117,C117)&amp;" OF "&amp;COUNTIF($C$6:$C$305,C117)&amp;IF(B117="","","  |  "&amp;B117))</f>
        <v/>
      </c>
      <c r="E117" s="10"/>
      <c r="F117" s="10"/>
      <c r="G117" s="10"/>
      <c r="H117" s="10"/>
      <c r="I117" s="10"/>
      <c r="J117" s="65" t="str">
        <f aca="false">IF(COUNT(G117:I117)=3,G117*H117*I117/1000000,"")</f>
        <v/>
      </c>
      <c r="K117" s="10"/>
      <c r="L117" s="10"/>
      <c r="M117" s="10"/>
    </row>
    <row r="118" customFormat="false" ht="15" hidden="false" customHeight="false" outlineLevel="0" collapsed="false">
      <c r="A118" s="63" t="n">
        <v>113</v>
      </c>
      <c r="B118" s="10"/>
      <c r="C118" s="10"/>
      <c r="D118" s="64" t="str">
        <f aca="false">IF(C118="","",C118&amp;"  |  BOX "&amp;COUNTIF($C$6:C118,C118)&amp;" OF "&amp;COUNTIF($C$6:$C$305,C118)&amp;IF(B118="","","  |  "&amp;B118))</f>
        <v/>
      </c>
      <c r="E118" s="10"/>
      <c r="F118" s="10"/>
      <c r="G118" s="10"/>
      <c r="H118" s="10"/>
      <c r="I118" s="10"/>
      <c r="J118" s="65" t="str">
        <f aca="false">IF(COUNT(G118:I118)=3,G118*H118*I118/1000000,"")</f>
        <v/>
      </c>
      <c r="K118" s="10"/>
      <c r="L118" s="10"/>
      <c r="M118" s="10"/>
    </row>
    <row r="119" customFormat="false" ht="15" hidden="false" customHeight="false" outlineLevel="0" collapsed="false">
      <c r="A119" s="63" t="n">
        <v>114</v>
      </c>
      <c r="B119" s="10"/>
      <c r="C119" s="10"/>
      <c r="D119" s="64" t="str">
        <f aca="false">IF(C119="","",C119&amp;"  |  BOX "&amp;COUNTIF($C$6:C119,C119)&amp;" OF "&amp;COUNTIF($C$6:$C$305,C119)&amp;IF(B119="","","  |  "&amp;B119))</f>
        <v/>
      </c>
      <c r="E119" s="10"/>
      <c r="F119" s="10"/>
      <c r="G119" s="10"/>
      <c r="H119" s="10"/>
      <c r="I119" s="10"/>
      <c r="J119" s="65" t="str">
        <f aca="false">IF(COUNT(G119:I119)=3,G119*H119*I119/1000000,"")</f>
        <v/>
      </c>
      <c r="K119" s="10"/>
      <c r="L119" s="10"/>
      <c r="M119" s="10"/>
    </row>
    <row r="120" customFormat="false" ht="15" hidden="false" customHeight="false" outlineLevel="0" collapsed="false">
      <c r="A120" s="63" t="n">
        <v>115</v>
      </c>
      <c r="B120" s="10"/>
      <c r="C120" s="10"/>
      <c r="D120" s="64" t="str">
        <f aca="false">IF(C120="","",C120&amp;"  |  BOX "&amp;COUNTIF($C$6:C120,C120)&amp;" OF "&amp;COUNTIF($C$6:$C$305,C120)&amp;IF(B120="","","  |  "&amp;B120))</f>
        <v/>
      </c>
      <c r="E120" s="10"/>
      <c r="F120" s="10"/>
      <c r="G120" s="10"/>
      <c r="H120" s="10"/>
      <c r="I120" s="10"/>
      <c r="J120" s="65" t="str">
        <f aca="false">IF(COUNT(G120:I120)=3,G120*H120*I120/1000000,"")</f>
        <v/>
      </c>
      <c r="K120" s="10"/>
      <c r="L120" s="10"/>
      <c r="M120" s="10"/>
    </row>
    <row r="121" customFormat="false" ht="15" hidden="false" customHeight="false" outlineLevel="0" collapsed="false">
      <c r="A121" s="63" t="n">
        <v>116</v>
      </c>
      <c r="B121" s="10"/>
      <c r="C121" s="10"/>
      <c r="D121" s="64" t="str">
        <f aca="false">IF(C121="","",C121&amp;"  |  BOX "&amp;COUNTIF($C$6:C121,C121)&amp;" OF "&amp;COUNTIF($C$6:$C$305,C121)&amp;IF(B121="","","  |  "&amp;B121))</f>
        <v/>
      </c>
      <c r="E121" s="10"/>
      <c r="F121" s="10"/>
      <c r="G121" s="10"/>
      <c r="H121" s="10"/>
      <c r="I121" s="10"/>
      <c r="J121" s="65" t="str">
        <f aca="false">IF(COUNT(G121:I121)=3,G121*H121*I121/1000000,"")</f>
        <v/>
      </c>
      <c r="K121" s="10"/>
      <c r="L121" s="10"/>
      <c r="M121" s="10"/>
    </row>
    <row r="122" customFormat="false" ht="15" hidden="false" customHeight="false" outlineLevel="0" collapsed="false">
      <c r="A122" s="63" t="n">
        <v>117</v>
      </c>
      <c r="B122" s="10"/>
      <c r="C122" s="10"/>
      <c r="D122" s="64" t="str">
        <f aca="false">IF(C122="","",C122&amp;"  |  BOX "&amp;COUNTIF($C$6:C122,C122)&amp;" OF "&amp;COUNTIF($C$6:$C$305,C122)&amp;IF(B122="","","  |  "&amp;B122))</f>
        <v/>
      </c>
      <c r="E122" s="10"/>
      <c r="F122" s="10"/>
      <c r="G122" s="10"/>
      <c r="H122" s="10"/>
      <c r="I122" s="10"/>
      <c r="J122" s="65" t="str">
        <f aca="false">IF(COUNT(G122:I122)=3,G122*H122*I122/1000000,"")</f>
        <v/>
      </c>
      <c r="K122" s="10"/>
      <c r="L122" s="10"/>
      <c r="M122" s="10"/>
    </row>
    <row r="123" customFormat="false" ht="15" hidden="false" customHeight="false" outlineLevel="0" collapsed="false">
      <c r="A123" s="63" t="n">
        <v>118</v>
      </c>
      <c r="B123" s="10"/>
      <c r="C123" s="10"/>
      <c r="D123" s="64" t="str">
        <f aca="false">IF(C123="","",C123&amp;"  |  BOX "&amp;COUNTIF($C$6:C123,C123)&amp;" OF "&amp;COUNTIF($C$6:$C$305,C123)&amp;IF(B123="","","  |  "&amp;B123))</f>
        <v/>
      </c>
      <c r="E123" s="10"/>
      <c r="F123" s="10"/>
      <c r="G123" s="10"/>
      <c r="H123" s="10"/>
      <c r="I123" s="10"/>
      <c r="J123" s="65" t="str">
        <f aca="false">IF(COUNT(G123:I123)=3,G123*H123*I123/1000000,"")</f>
        <v/>
      </c>
      <c r="K123" s="10"/>
      <c r="L123" s="10"/>
      <c r="M123" s="10"/>
    </row>
    <row r="124" customFormat="false" ht="15" hidden="false" customHeight="false" outlineLevel="0" collapsed="false">
      <c r="A124" s="63" t="n">
        <v>119</v>
      </c>
      <c r="B124" s="10"/>
      <c r="C124" s="10"/>
      <c r="D124" s="64" t="str">
        <f aca="false">IF(C124="","",C124&amp;"  |  BOX "&amp;COUNTIF($C$6:C124,C124)&amp;" OF "&amp;COUNTIF($C$6:$C$305,C124)&amp;IF(B124="","","  |  "&amp;B124))</f>
        <v/>
      </c>
      <c r="E124" s="10"/>
      <c r="F124" s="10"/>
      <c r="G124" s="10"/>
      <c r="H124" s="10"/>
      <c r="I124" s="10"/>
      <c r="J124" s="65" t="str">
        <f aca="false">IF(COUNT(G124:I124)=3,G124*H124*I124/1000000,"")</f>
        <v/>
      </c>
      <c r="K124" s="10"/>
      <c r="L124" s="10"/>
      <c r="M124" s="10"/>
    </row>
    <row r="125" customFormat="false" ht="15" hidden="false" customHeight="false" outlineLevel="0" collapsed="false">
      <c r="A125" s="63" t="n">
        <v>120</v>
      </c>
      <c r="B125" s="10"/>
      <c r="C125" s="10"/>
      <c r="D125" s="64" t="str">
        <f aca="false">IF(C125="","",C125&amp;"  |  BOX "&amp;COUNTIF($C$6:C125,C125)&amp;" OF "&amp;COUNTIF($C$6:$C$305,C125)&amp;IF(B125="","","  |  "&amp;B125))</f>
        <v/>
      </c>
      <c r="E125" s="10"/>
      <c r="F125" s="10"/>
      <c r="G125" s="10"/>
      <c r="H125" s="10"/>
      <c r="I125" s="10"/>
      <c r="J125" s="65" t="str">
        <f aca="false">IF(COUNT(G125:I125)=3,G125*H125*I125/1000000,"")</f>
        <v/>
      </c>
      <c r="K125" s="10"/>
      <c r="L125" s="10"/>
      <c r="M125" s="10"/>
    </row>
    <row r="126" customFormat="false" ht="15" hidden="false" customHeight="false" outlineLevel="0" collapsed="false">
      <c r="A126" s="63" t="n">
        <v>121</v>
      </c>
      <c r="B126" s="10"/>
      <c r="C126" s="10"/>
      <c r="D126" s="64" t="str">
        <f aca="false">IF(C126="","",C126&amp;"  |  BOX "&amp;COUNTIF($C$6:C126,C126)&amp;" OF "&amp;COUNTIF($C$6:$C$305,C126)&amp;IF(B126="","","  |  "&amp;B126))</f>
        <v/>
      </c>
      <c r="E126" s="10"/>
      <c r="F126" s="10"/>
      <c r="G126" s="10"/>
      <c r="H126" s="10"/>
      <c r="I126" s="10"/>
      <c r="J126" s="65" t="str">
        <f aca="false">IF(COUNT(G126:I126)=3,G126*H126*I126/1000000,"")</f>
        <v/>
      </c>
      <c r="K126" s="10"/>
      <c r="L126" s="10"/>
      <c r="M126" s="10"/>
    </row>
    <row r="127" customFormat="false" ht="15" hidden="false" customHeight="false" outlineLevel="0" collapsed="false">
      <c r="A127" s="63" t="n">
        <v>122</v>
      </c>
      <c r="B127" s="10"/>
      <c r="C127" s="10"/>
      <c r="D127" s="64" t="str">
        <f aca="false">IF(C127="","",C127&amp;"  |  BOX "&amp;COUNTIF($C$6:C127,C127)&amp;" OF "&amp;COUNTIF($C$6:$C$305,C127)&amp;IF(B127="","","  |  "&amp;B127))</f>
        <v/>
      </c>
      <c r="E127" s="10"/>
      <c r="F127" s="10"/>
      <c r="G127" s="10"/>
      <c r="H127" s="10"/>
      <c r="I127" s="10"/>
      <c r="J127" s="65" t="str">
        <f aca="false">IF(COUNT(G127:I127)=3,G127*H127*I127/1000000,"")</f>
        <v/>
      </c>
      <c r="K127" s="10"/>
      <c r="L127" s="10"/>
      <c r="M127" s="10"/>
    </row>
    <row r="128" customFormat="false" ht="15" hidden="false" customHeight="false" outlineLevel="0" collapsed="false">
      <c r="A128" s="63" t="n">
        <v>123</v>
      </c>
      <c r="B128" s="10"/>
      <c r="C128" s="10"/>
      <c r="D128" s="64" t="str">
        <f aca="false">IF(C128="","",C128&amp;"  |  BOX "&amp;COUNTIF($C$6:C128,C128)&amp;" OF "&amp;COUNTIF($C$6:$C$305,C128)&amp;IF(B128="","","  |  "&amp;B128))</f>
        <v/>
      </c>
      <c r="E128" s="10"/>
      <c r="F128" s="10"/>
      <c r="G128" s="10"/>
      <c r="H128" s="10"/>
      <c r="I128" s="10"/>
      <c r="J128" s="65" t="str">
        <f aca="false">IF(COUNT(G128:I128)=3,G128*H128*I128/1000000,"")</f>
        <v/>
      </c>
      <c r="K128" s="10"/>
      <c r="L128" s="10"/>
      <c r="M128" s="10"/>
    </row>
    <row r="129" customFormat="false" ht="15" hidden="false" customHeight="false" outlineLevel="0" collapsed="false">
      <c r="A129" s="63" t="n">
        <v>124</v>
      </c>
      <c r="B129" s="10"/>
      <c r="C129" s="10"/>
      <c r="D129" s="64" t="str">
        <f aca="false">IF(C129="","",C129&amp;"  |  BOX "&amp;COUNTIF($C$6:C129,C129)&amp;" OF "&amp;COUNTIF($C$6:$C$305,C129)&amp;IF(B129="","","  |  "&amp;B129))</f>
        <v/>
      </c>
      <c r="E129" s="10"/>
      <c r="F129" s="10"/>
      <c r="G129" s="10"/>
      <c r="H129" s="10"/>
      <c r="I129" s="10"/>
      <c r="J129" s="65" t="str">
        <f aca="false">IF(COUNT(G129:I129)=3,G129*H129*I129/1000000,"")</f>
        <v/>
      </c>
      <c r="K129" s="10"/>
      <c r="L129" s="10"/>
      <c r="M129" s="10"/>
    </row>
    <row r="130" customFormat="false" ht="15" hidden="false" customHeight="false" outlineLevel="0" collapsed="false">
      <c r="A130" s="63" t="n">
        <v>125</v>
      </c>
      <c r="B130" s="10"/>
      <c r="C130" s="10"/>
      <c r="D130" s="64" t="str">
        <f aca="false">IF(C130="","",C130&amp;"  |  BOX "&amp;COUNTIF($C$6:C130,C130)&amp;" OF "&amp;COUNTIF($C$6:$C$305,C130)&amp;IF(B130="","","  |  "&amp;B130))</f>
        <v/>
      </c>
      <c r="E130" s="10"/>
      <c r="F130" s="10"/>
      <c r="G130" s="10"/>
      <c r="H130" s="10"/>
      <c r="I130" s="10"/>
      <c r="J130" s="65" t="str">
        <f aca="false">IF(COUNT(G130:I130)=3,G130*H130*I130/1000000,"")</f>
        <v/>
      </c>
      <c r="K130" s="10"/>
      <c r="L130" s="10"/>
      <c r="M130" s="10"/>
    </row>
    <row r="131" customFormat="false" ht="15" hidden="false" customHeight="false" outlineLevel="0" collapsed="false">
      <c r="A131" s="63" t="n">
        <v>126</v>
      </c>
      <c r="B131" s="10"/>
      <c r="C131" s="10"/>
      <c r="D131" s="64" t="str">
        <f aca="false">IF(C131="","",C131&amp;"  |  BOX "&amp;COUNTIF($C$6:C131,C131)&amp;" OF "&amp;COUNTIF($C$6:$C$305,C131)&amp;IF(B131="","","  |  "&amp;B131))</f>
        <v/>
      </c>
      <c r="E131" s="10"/>
      <c r="F131" s="10"/>
      <c r="G131" s="10"/>
      <c r="H131" s="10"/>
      <c r="I131" s="10"/>
      <c r="J131" s="65" t="str">
        <f aca="false">IF(COUNT(G131:I131)=3,G131*H131*I131/1000000,"")</f>
        <v/>
      </c>
      <c r="K131" s="10"/>
      <c r="L131" s="10"/>
      <c r="M131" s="10"/>
    </row>
    <row r="132" customFormat="false" ht="15" hidden="false" customHeight="false" outlineLevel="0" collapsed="false">
      <c r="A132" s="63" t="n">
        <v>127</v>
      </c>
      <c r="B132" s="10"/>
      <c r="C132" s="10"/>
      <c r="D132" s="64" t="str">
        <f aca="false">IF(C132="","",C132&amp;"  |  BOX "&amp;COUNTIF($C$6:C132,C132)&amp;" OF "&amp;COUNTIF($C$6:$C$305,C132)&amp;IF(B132="","","  |  "&amp;B132))</f>
        <v/>
      </c>
      <c r="E132" s="10"/>
      <c r="F132" s="10"/>
      <c r="G132" s="10"/>
      <c r="H132" s="10"/>
      <c r="I132" s="10"/>
      <c r="J132" s="65" t="str">
        <f aca="false">IF(COUNT(G132:I132)=3,G132*H132*I132/1000000,"")</f>
        <v/>
      </c>
      <c r="K132" s="10"/>
      <c r="L132" s="10"/>
      <c r="M132" s="10"/>
    </row>
    <row r="133" customFormat="false" ht="15" hidden="false" customHeight="false" outlineLevel="0" collapsed="false">
      <c r="A133" s="63" t="n">
        <v>128</v>
      </c>
      <c r="B133" s="10"/>
      <c r="C133" s="10"/>
      <c r="D133" s="64" t="str">
        <f aca="false">IF(C133="","",C133&amp;"  |  BOX "&amp;COUNTIF($C$6:C133,C133)&amp;" OF "&amp;COUNTIF($C$6:$C$305,C133)&amp;IF(B133="","","  |  "&amp;B133))</f>
        <v/>
      </c>
      <c r="E133" s="10"/>
      <c r="F133" s="10"/>
      <c r="G133" s="10"/>
      <c r="H133" s="10"/>
      <c r="I133" s="10"/>
      <c r="J133" s="65" t="str">
        <f aca="false">IF(COUNT(G133:I133)=3,G133*H133*I133/1000000,"")</f>
        <v/>
      </c>
      <c r="K133" s="10"/>
      <c r="L133" s="10"/>
      <c r="M133" s="10"/>
    </row>
    <row r="134" customFormat="false" ht="15" hidden="false" customHeight="false" outlineLevel="0" collapsed="false">
      <c r="A134" s="63" t="n">
        <v>129</v>
      </c>
      <c r="B134" s="10"/>
      <c r="C134" s="10"/>
      <c r="D134" s="64" t="str">
        <f aca="false">IF(C134="","",C134&amp;"  |  BOX "&amp;COUNTIF($C$6:C134,C134)&amp;" OF "&amp;COUNTIF($C$6:$C$305,C134)&amp;IF(B134="","","  |  "&amp;B134))</f>
        <v/>
      </c>
      <c r="E134" s="10"/>
      <c r="F134" s="10"/>
      <c r="G134" s="10"/>
      <c r="H134" s="10"/>
      <c r="I134" s="10"/>
      <c r="J134" s="65" t="str">
        <f aca="false">IF(COUNT(G134:I134)=3,G134*H134*I134/1000000,"")</f>
        <v/>
      </c>
      <c r="K134" s="10"/>
      <c r="L134" s="10"/>
      <c r="M134" s="10"/>
    </row>
    <row r="135" customFormat="false" ht="15" hidden="false" customHeight="false" outlineLevel="0" collapsed="false">
      <c r="A135" s="63" t="n">
        <v>130</v>
      </c>
      <c r="B135" s="10"/>
      <c r="C135" s="10"/>
      <c r="D135" s="64" t="str">
        <f aca="false">IF(C135="","",C135&amp;"  |  BOX "&amp;COUNTIF($C$6:C135,C135)&amp;" OF "&amp;COUNTIF($C$6:$C$305,C135)&amp;IF(B135="","","  |  "&amp;B135))</f>
        <v/>
      </c>
      <c r="E135" s="10"/>
      <c r="F135" s="10"/>
      <c r="G135" s="10"/>
      <c r="H135" s="10"/>
      <c r="I135" s="10"/>
      <c r="J135" s="65" t="str">
        <f aca="false">IF(COUNT(G135:I135)=3,G135*H135*I135/1000000,"")</f>
        <v/>
      </c>
      <c r="K135" s="10"/>
      <c r="L135" s="10"/>
      <c r="M135" s="10"/>
    </row>
    <row r="136" customFormat="false" ht="15" hidden="false" customHeight="false" outlineLevel="0" collapsed="false">
      <c r="A136" s="63" t="n">
        <v>131</v>
      </c>
      <c r="B136" s="10"/>
      <c r="C136" s="10"/>
      <c r="D136" s="64" t="str">
        <f aca="false">IF(C136="","",C136&amp;"  |  BOX "&amp;COUNTIF($C$6:C136,C136)&amp;" OF "&amp;COUNTIF($C$6:$C$305,C136)&amp;IF(B136="","","  |  "&amp;B136))</f>
        <v/>
      </c>
      <c r="E136" s="10"/>
      <c r="F136" s="10"/>
      <c r="G136" s="10"/>
      <c r="H136" s="10"/>
      <c r="I136" s="10"/>
      <c r="J136" s="65" t="str">
        <f aca="false">IF(COUNT(G136:I136)=3,G136*H136*I136/1000000,"")</f>
        <v/>
      </c>
      <c r="K136" s="10"/>
      <c r="L136" s="10"/>
      <c r="M136" s="10"/>
    </row>
    <row r="137" customFormat="false" ht="15" hidden="false" customHeight="false" outlineLevel="0" collapsed="false">
      <c r="A137" s="63" t="n">
        <v>132</v>
      </c>
      <c r="B137" s="10"/>
      <c r="C137" s="10"/>
      <c r="D137" s="64" t="str">
        <f aca="false">IF(C137="","",C137&amp;"  |  BOX "&amp;COUNTIF($C$6:C137,C137)&amp;" OF "&amp;COUNTIF($C$6:$C$305,C137)&amp;IF(B137="","","  |  "&amp;B137))</f>
        <v/>
      </c>
      <c r="E137" s="10"/>
      <c r="F137" s="10"/>
      <c r="G137" s="10"/>
      <c r="H137" s="10"/>
      <c r="I137" s="10"/>
      <c r="J137" s="65" t="str">
        <f aca="false">IF(COUNT(G137:I137)=3,G137*H137*I137/1000000,"")</f>
        <v/>
      </c>
      <c r="K137" s="10"/>
      <c r="L137" s="10"/>
      <c r="M137" s="10"/>
    </row>
    <row r="138" customFormat="false" ht="15" hidden="false" customHeight="false" outlineLevel="0" collapsed="false">
      <c r="A138" s="63" t="n">
        <v>133</v>
      </c>
      <c r="B138" s="10"/>
      <c r="C138" s="10"/>
      <c r="D138" s="64" t="str">
        <f aca="false">IF(C138="","",C138&amp;"  |  BOX "&amp;COUNTIF($C$6:C138,C138)&amp;" OF "&amp;COUNTIF($C$6:$C$305,C138)&amp;IF(B138="","","  |  "&amp;B138))</f>
        <v/>
      </c>
      <c r="E138" s="10"/>
      <c r="F138" s="10"/>
      <c r="G138" s="10"/>
      <c r="H138" s="10"/>
      <c r="I138" s="10"/>
      <c r="J138" s="65" t="str">
        <f aca="false">IF(COUNT(G138:I138)=3,G138*H138*I138/1000000,"")</f>
        <v/>
      </c>
      <c r="K138" s="10"/>
      <c r="L138" s="10"/>
      <c r="M138" s="10"/>
    </row>
    <row r="139" customFormat="false" ht="15" hidden="false" customHeight="false" outlineLevel="0" collapsed="false">
      <c r="A139" s="63" t="n">
        <v>134</v>
      </c>
      <c r="B139" s="10"/>
      <c r="C139" s="10"/>
      <c r="D139" s="64" t="str">
        <f aca="false">IF(C139="","",C139&amp;"  |  BOX "&amp;COUNTIF($C$6:C139,C139)&amp;" OF "&amp;COUNTIF($C$6:$C$305,C139)&amp;IF(B139="","","  |  "&amp;B139))</f>
        <v/>
      </c>
      <c r="E139" s="10"/>
      <c r="F139" s="10"/>
      <c r="G139" s="10"/>
      <c r="H139" s="10"/>
      <c r="I139" s="10"/>
      <c r="J139" s="65" t="str">
        <f aca="false">IF(COUNT(G139:I139)=3,G139*H139*I139/1000000,"")</f>
        <v/>
      </c>
      <c r="K139" s="10"/>
      <c r="L139" s="10"/>
      <c r="M139" s="10"/>
    </row>
    <row r="140" customFormat="false" ht="15" hidden="false" customHeight="false" outlineLevel="0" collapsed="false">
      <c r="A140" s="63" t="n">
        <v>135</v>
      </c>
      <c r="B140" s="10"/>
      <c r="C140" s="10"/>
      <c r="D140" s="64" t="str">
        <f aca="false">IF(C140="","",C140&amp;"  |  BOX "&amp;COUNTIF($C$6:C140,C140)&amp;" OF "&amp;COUNTIF($C$6:$C$305,C140)&amp;IF(B140="","","  |  "&amp;B140))</f>
        <v/>
      </c>
      <c r="E140" s="10"/>
      <c r="F140" s="10"/>
      <c r="G140" s="10"/>
      <c r="H140" s="10"/>
      <c r="I140" s="10"/>
      <c r="J140" s="65" t="str">
        <f aca="false">IF(COUNT(G140:I140)=3,G140*H140*I140/1000000,"")</f>
        <v/>
      </c>
      <c r="K140" s="10"/>
      <c r="L140" s="10"/>
      <c r="M140" s="10"/>
    </row>
    <row r="141" customFormat="false" ht="15" hidden="false" customHeight="false" outlineLevel="0" collapsed="false">
      <c r="A141" s="63" t="n">
        <v>136</v>
      </c>
      <c r="B141" s="10"/>
      <c r="C141" s="10"/>
      <c r="D141" s="64" t="str">
        <f aca="false">IF(C141="","",C141&amp;"  |  BOX "&amp;COUNTIF($C$6:C141,C141)&amp;" OF "&amp;COUNTIF($C$6:$C$305,C141)&amp;IF(B141="","","  |  "&amp;B141))</f>
        <v/>
      </c>
      <c r="E141" s="10"/>
      <c r="F141" s="10"/>
      <c r="G141" s="10"/>
      <c r="H141" s="10"/>
      <c r="I141" s="10"/>
      <c r="J141" s="65" t="str">
        <f aca="false">IF(COUNT(G141:I141)=3,G141*H141*I141/1000000,"")</f>
        <v/>
      </c>
      <c r="K141" s="10"/>
      <c r="L141" s="10"/>
      <c r="M141" s="10"/>
    </row>
    <row r="142" customFormat="false" ht="15" hidden="false" customHeight="false" outlineLevel="0" collapsed="false">
      <c r="A142" s="63" t="n">
        <v>137</v>
      </c>
      <c r="B142" s="10"/>
      <c r="C142" s="10"/>
      <c r="D142" s="64" t="str">
        <f aca="false">IF(C142="","",C142&amp;"  |  BOX "&amp;COUNTIF($C$6:C142,C142)&amp;" OF "&amp;COUNTIF($C$6:$C$305,C142)&amp;IF(B142="","","  |  "&amp;B142))</f>
        <v/>
      </c>
      <c r="E142" s="10"/>
      <c r="F142" s="10"/>
      <c r="G142" s="10"/>
      <c r="H142" s="10"/>
      <c r="I142" s="10"/>
      <c r="J142" s="65" t="str">
        <f aca="false">IF(COUNT(G142:I142)=3,G142*H142*I142/1000000,"")</f>
        <v/>
      </c>
      <c r="K142" s="10"/>
      <c r="L142" s="10"/>
      <c r="M142" s="10"/>
    </row>
    <row r="143" customFormat="false" ht="15" hidden="false" customHeight="false" outlineLevel="0" collapsed="false">
      <c r="A143" s="63" t="n">
        <v>138</v>
      </c>
      <c r="B143" s="10"/>
      <c r="C143" s="10"/>
      <c r="D143" s="64" t="str">
        <f aca="false">IF(C143="","",C143&amp;"  |  BOX "&amp;COUNTIF($C$6:C143,C143)&amp;" OF "&amp;COUNTIF($C$6:$C$305,C143)&amp;IF(B143="","","  |  "&amp;B143))</f>
        <v/>
      </c>
      <c r="E143" s="10"/>
      <c r="F143" s="10"/>
      <c r="G143" s="10"/>
      <c r="H143" s="10"/>
      <c r="I143" s="10"/>
      <c r="J143" s="65" t="str">
        <f aca="false">IF(COUNT(G143:I143)=3,G143*H143*I143/1000000,"")</f>
        <v/>
      </c>
      <c r="K143" s="10"/>
      <c r="L143" s="10"/>
      <c r="M143" s="10"/>
    </row>
    <row r="144" customFormat="false" ht="15" hidden="false" customHeight="false" outlineLevel="0" collapsed="false">
      <c r="A144" s="63" t="n">
        <v>139</v>
      </c>
      <c r="B144" s="10"/>
      <c r="C144" s="10"/>
      <c r="D144" s="64" t="str">
        <f aca="false">IF(C144="","",C144&amp;"  |  BOX "&amp;COUNTIF($C$6:C144,C144)&amp;" OF "&amp;COUNTIF($C$6:$C$305,C144)&amp;IF(B144="","","  |  "&amp;B144))</f>
        <v/>
      </c>
      <c r="E144" s="10"/>
      <c r="F144" s="10"/>
      <c r="G144" s="10"/>
      <c r="H144" s="10"/>
      <c r="I144" s="10"/>
      <c r="J144" s="65" t="str">
        <f aca="false">IF(COUNT(G144:I144)=3,G144*H144*I144/1000000,"")</f>
        <v/>
      </c>
      <c r="K144" s="10"/>
      <c r="L144" s="10"/>
      <c r="M144" s="10"/>
    </row>
    <row r="145" customFormat="false" ht="15" hidden="false" customHeight="false" outlineLevel="0" collapsed="false">
      <c r="A145" s="63" t="n">
        <v>140</v>
      </c>
      <c r="B145" s="10"/>
      <c r="C145" s="10"/>
      <c r="D145" s="64" t="str">
        <f aca="false">IF(C145="","",C145&amp;"  |  BOX "&amp;COUNTIF($C$6:C145,C145)&amp;" OF "&amp;COUNTIF($C$6:$C$305,C145)&amp;IF(B145="","","  |  "&amp;B145))</f>
        <v/>
      </c>
      <c r="E145" s="10"/>
      <c r="F145" s="10"/>
      <c r="G145" s="10"/>
      <c r="H145" s="10"/>
      <c r="I145" s="10"/>
      <c r="J145" s="65" t="str">
        <f aca="false">IF(COUNT(G145:I145)=3,G145*H145*I145/1000000,"")</f>
        <v/>
      </c>
      <c r="K145" s="10"/>
      <c r="L145" s="10"/>
      <c r="M145" s="10"/>
    </row>
    <row r="146" customFormat="false" ht="15" hidden="false" customHeight="false" outlineLevel="0" collapsed="false">
      <c r="A146" s="63" t="n">
        <v>141</v>
      </c>
      <c r="B146" s="10"/>
      <c r="C146" s="10"/>
      <c r="D146" s="64" t="str">
        <f aca="false">IF(C146="","",C146&amp;"  |  BOX "&amp;COUNTIF($C$6:C146,C146)&amp;" OF "&amp;COUNTIF($C$6:$C$305,C146)&amp;IF(B146="","","  |  "&amp;B146))</f>
        <v/>
      </c>
      <c r="E146" s="10"/>
      <c r="F146" s="10"/>
      <c r="G146" s="10"/>
      <c r="H146" s="10"/>
      <c r="I146" s="10"/>
      <c r="J146" s="65" t="str">
        <f aca="false">IF(COUNT(G146:I146)=3,G146*H146*I146/1000000,"")</f>
        <v/>
      </c>
      <c r="K146" s="10"/>
      <c r="L146" s="10"/>
      <c r="M146" s="10"/>
    </row>
    <row r="147" customFormat="false" ht="15" hidden="false" customHeight="false" outlineLevel="0" collapsed="false">
      <c r="A147" s="63" t="n">
        <v>142</v>
      </c>
      <c r="B147" s="10"/>
      <c r="C147" s="10"/>
      <c r="D147" s="64" t="str">
        <f aca="false">IF(C147="","",C147&amp;"  |  BOX "&amp;COUNTIF($C$6:C147,C147)&amp;" OF "&amp;COUNTIF($C$6:$C$305,C147)&amp;IF(B147="","","  |  "&amp;B147))</f>
        <v/>
      </c>
      <c r="E147" s="10"/>
      <c r="F147" s="10"/>
      <c r="G147" s="10"/>
      <c r="H147" s="10"/>
      <c r="I147" s="10"/>
      <c r="J147" s="65" t="str">
        <f aca="false">IF(COUNT(G147:I147)=3,G147*H147*I147/1000000,"")</f>
        <v/>
      </c>
      <c r="K147" s="10"/>
      <c r="L147" s="10"/>
      <c r="M147" s="10"/>
    </row>
    <row r="148" customFormat="false" ht="15" hidden="false" customHeight="false" outlineLevel="0" collapsed="false">
      <c r="A148" s="63" t="n">
        <v>143</v>
      </c>
      <c r="B148" s="10"/>
      <c r="C148" s="10"/>
      <c r="D148" s="64" t="str">
        <f aca="false">IF(C148="","",C148&amp;"  |  BOX "&amp;COUNTIF($C$6:C148,C148)&amp;" OF "&amp;COUNTIF($C$6:$C$305,C148)&amp;IF(B148="","","  |  "&amp;B148))</f>
        <v/>
      </c>
      <c r="E148" s="10"/>
      <c r="F148" s="10"/>
      <c r="G148" s="10"/>
      <c r="H148" s="10"/>
      <c r="I148" s="10"/>
      <c r="J148" s="65" t="str">
        <f aca="false">IF(COUNT(G148:I148)=3,G148*H148*I148/1000000,"")</f>
        <v/>
      </c>
      <c r="K148" s="10"/>
      <c r="L148" s="10"/>
      <c r="M148" s="10"/>
    </row>
    <row r="149" customFormat="false" ht="15" hidden="false" customHeight="false" outlineLevel="0" collapsed="false">
      <c r="A149" s="63" t="n">
        <v>144</v>
      </c>
      <c r="B149" s="10"/>
      <c r="C149" s="10"/>
      <c r="D149" s="64" t="str">
        <f aca="false">IF(C149="","",C149&amp;"  |  BOX "&amp;COUNTIF($C$6:C149,C149)&amp;" OF "&amp;COUNTIF($C$6:$C$305,C149)&amp;IF(B149="","","  |  "&amp;B149))</f>
        <v/>
      </c>
      <c r="E149" s="10"/>
      <c r="F149" s="10"/>
      <c r="G149" s="10"/>
      <c r="H149" s="10"/>
      <c r="I149" s="10"/>
      <c r="J149" s="65" t="str">
        <f aca="false">IF(COUNT(G149:I149)=3,G149*H149*I149/1000000,"")</f>
        <v/>
      </c>
      <c r="K149" s="10"/>
      <c r="L149" s="10"/>
      <c r="M149" s="10"/>
    </row>
    <row r="150" customFormat="false" ht="15" hidden="false" customHeight="false" outlineLevel="0" collapsed="false">
      <c r="A150" s="63" t="n">
        <v>145</v>
      </c>
      <c r="B150" s="10"/>
      <c r="C150" s="10"/>
      <c r="D150" s="64" t="str">
        <f aca="false">IF(C150="","",C150&amp;"  |  BOX "&amp;COUNTIF($C$6:C150,C150)&amp;" OF "&amp;COUNTIF($C$6:$C$305,C150)&amp;IF(B150="","","  |  "&amp;B150))</f>
        <v/>
      </c>
      <c r="E150" s="10"/>
      <c r="F150" s="10"/>
      <c r="G150" s="10"/>
      <c r="H150" s="10"/>
      <c r="I150" s="10"/>
      <c r="J150" s="65" t="str">
        <f aca="false">IF(COUNT(G150:I150)=3,G150*H150*I150/1000000,"")</f>
        <v/>
      </c>
      <c r="K150" s="10"/>
      <c r="L150" s="10"/>
      <c r="M150" s="10"/>
    </row>
    <row r="151" customFormat="false" ht="15" hidden="false" customHeight="false" outlineLevel="0" collapsed="false">
      <c r="A151" s="63" t="n">
        <v>146</v>
      </c>
      <c r="B151" s="10"/>
      <c r="C151" s="10"/>
      <c r="D151" s="64" t="str">
        <f aca="false">IF(C151="","",C151&amp;"  |  BOX "&amp;COUNTIF($C$6:C151,C151)&amp;" OF "&amp;COUNTIF($C$6:$C$305,C151)&amp;IF(B151="","","  |  "&amp;B151))</f>
        <v/>
      </c>
      <c r="E151" s="10"/>
      <c r="F151" s="10"/>
      <c r="G151" s="10"/>
      <c r="H151" s="10"/>
      <c r="I151" s="10"/>
      <c r="J151" s="65" t="str">
        <f aca="false">IF(COUNT(G151:I151)=3,G151*H151*I151/1000000,"")</f>
        <v/>
      </c>
      <c r="K151" s="10"/>
      <c r="L151" s="10"/>
      <c r="M151" s="10"/>
    </row>
    <row r="152" customFormat="false" ht="15" hidden="false" customHeight="false" outlineLevel="0" collapsed="false">
      <c r="A152" s="63" t="n">
        <v>147</v>
      </c>
      <c r="B152" s="10"/>
      <c r="C152" s="10"/>
      <c r="D152" s="64" t="str">
        <f aca="false">IF(C152="","",C152&amp;"  |  BOX "&amp;COUNTIF($C$6:C152,C152)&amp;" OF "&amp;COUNTIF($C$6:$C$305,C152)&amp;IF(B152="","","  |  "&amp;B152))</f>
        <v/>
      </c>
      <c r="E152" s="10"/>
      <c r="F152" s="10"/>
      <c r="G152" s="10"/>
      <c r="H152" s="10"/>
      <c r="I152" s="10"/>
      <c r="J152" s="65" t="str">
        <f aca="false">IF(COUNT(G152:I152)=3,G152*H152*I152/1000000,"")</f>
        <v/>
      </c>
      <c r="K152" s="10"/>
      <c r="L152" s="10"/>
      <c r="M152" s="10"/>
    </row>
    <row r="153" customFormat="false" ht="15" hidden="false" customHeight="false" outlineLevel="0" collapsed="false">
      <c r="A153" s="63" t="n">
        <v>148</v>
      </c>
      <c r="B153" s="10"/>
      <c r="C153" s="10"/>
      <c r="D153" s="64" t="str">
        <f aca="false">IF(C153="","",C153&amp;"  |  BOX "&amp;COUNTIF($C$6:C153,C153)&amp;" OF "&amp;COUNTIF($C$6:$C$305,C153)&amp;IF(B153="","","  |  "&amp;B153))</f>
        <v/>
      </c>
      <c r="E153" s="10"/>
      <c r="F153" s="10"/>
      <c r="G153" s="10"/>
      <c r="H153" s="10"/>
      <c r="I153" s="10"/>
      <c r="J153" s="65" t="str">
        <f aca="false">IF(COUNT(G153:I153)=3,G153*H153*I153/1000000,"")</f>
        <v/>
      </c>
      <c r="K153" s="10"/>
      <c r="L153" s="10"/>
      <c r="M153" s="10"/>
    </row>
    <row r="154" customFormat="false" ht="15" hidden="false" customHeight="false" outlineLevel="0" collapsed="false">
      <c r="A154" s="63" t="n">
        <v>149</v>
      </c>
      <c r="B154" s="10"/>
      <c r="C154" s="10"/>
      <c r="D154" s="64" t="str">
        <f aca="false">IF(C154="","",C154&amp;"  |  BOX "&amp;COUNTIF($C$6:C154,C154)&amp;" OF "&amp;COUNTIF($C$6:$C$305,C154)&amp;IF(B154="","","  |  "&amp;B154))</f>
        <v/>
      </c>
      <c r="E154" s="10"/>
      <c r="F154" s="10"/>
      <c r="G154" s="10"/>
      <c r="H154" s="10"/>
      <c r="I154" s="10"/>
      <c r="J154" s="65" t="str">
        <f aca="false">IF(COUNT(G154:I154)=3,G154*H154*I154/1000000,"")</f>
        <v/>
      </c>
      <c r="K154" s="10"/>
      <c r="L154" s="10"/>
      <c r="M154" s="10"/>
    </row>
    <row r="155" customFormat="false" ht="15" hidden="false" customHeight="false" outlineLevel="0" collapsed="false">
      <c r="A155" s="63" t="n">
        <v>150</v>
      </c>
      <c r="B155" s="10"/>
      <c r="C155" s="10"/>
      <c r="D155" s="64" t="str">
        <f aca="false">IF(C155="","",C155&amp;"  |  BOX "&amp;COUNTIF($C$6:C155,C155)&amp;" OF "&amp;COUNTIF($C$6:$C$305,C155)&amp;IF(B155="","","  |  "&amp;B155))</f>
        <v/>
      </c>
      <c r="E155" s="10"/>
      <c r="F155" s="10"/>
      <c r="G155" s="10"/>
      <c r="H155" s="10"/>
      <c r="I155" s="10"/>
      <c r="J155" s="65" t="str">
        <f aca="false">IF(COUNT(G155:I155)=3,G155*H155*I155/1000000,"")</f>
        <v/>
      </c>
      <c r="K155" s="10"/>
      <c r="L155" s="10"/>
      <c r="M155" s="10"/>
    </row>
    <row r="156" customFormat="false" ht="15" hidden="false" customHeight="false" outlineLevel="0" collapsed="false">
      <c r="A156" s="63" t="n">
        <v>151</v>
      </c>
      <c r="B156" s="10"/>
      <c r="C156" s="10"/>
      <c r="D156" s="64" t="str">
        <f aca="false">IF(C156="","",C156&amp;"  |  BOX "&amp;COUNTIF($C$6:C156,C156)&amp;" OF "&amp;COUNTIF($C$6:$C$305,C156)&amp;IF(B156="","","  |  "&amp;B156))</f>
        <v/>
      </c>
      <c r="E156" s="10"/>
      <c r="F156" s="10"/>
      <c r="G156" s="10"/>
      <c r="H156" s="10"/>
      <c r="I156" s="10"/>
      <c r="J156" s="65" t="str">
        <f aca="false">IF(COUNT(G156:I156)=3,G156*H156*I156/1000000,"")</f>
        <v/>
      </c>
      <c r="K156" s="10"/>
      <c r="L156" s="10"/>
      <c r="M156" s="10"/>
    </row>
    <row r="157" customFormat="false" ht="15" hidden="false" customHeight="false" outlineLevel="0" collapsed="false">
      <c r="A157" s="63" t="n">
        <v>152</v>
      </c>
      <c r="B157" s="10"/>
      <c r="C157" s="10"/>
      <c r="D157" s="64" t="str">
        <f aca="false">IF(C157="","",C157&amp;"  |  BOX "&amp;COUNTIF($C$6:C157,C157)&amp;" OF "&amp;COUNTIF($C$6:$C$305,C157)&amp;IF(B157="","","  |  "&amp;B157))</f>
        <v/>
      </c>
      <c r="E157" s="10"/>
      <c r="F157" s="10"/>
      <c r="G157" s="10"/>
      <c r="H157" s="10"/>
      <c r="I157" s="10"/>
      <c r="J157" s="65" t="str">
        <f aca="false">IF(COUNT(G157:I157)=3,G157*H157*I157/1000000,"")</f>
        <v/>
      </c>
      <c r="K157" s="10"/>
      <c r="L157" s="10"/>
      <c r="M157" s="10"/>
    </row>
    <row r="158" customFormat="false" ht="15" hidden="false" customHeight="false" outlineLevel="0" collapsed="false">
      <c r="A158" s="63" t="n">
        <v>153</v>
      </c>
      <c r="B158" s="10"/>
      <c r="C158" s="10"/>
      <c r="D158" s="64" t="str">
        <f aca="false">IF(C158="","",C158&amp;"  |  BOX "&amp;COUNTIF($C$6:C158,C158)&amp;" OF "&amp;COUNTIF($C$6:$C$305,C158)&amp;IF(B158="","","  |  "&amp;B158))</f>
        <v/>
      </c>
      <c r="E158" s="10"/>
      <c r="F158" s="10"/>
      <c r="G158" s="10"/>
      <c r="H158" s="10"/>
      <c r="I158" s="10"/>
      <c r="J158" s="65" t="str">
        <f aca="false">IF(COUNT(G158:I158)=3,G158*H158*I158/1000000,"")</f>
        <v/>
      </c>
      <c r="K158" s="10"/>
      <c r="L158" s="10"/>
      <c r="M158" s="10"/>
    </row>
    <row r="159" customFormat="false" ht="15" hidden="false" customHeight="false" outlineLevel="0" collapsed="false">
      <c r="A159" s="63" t="n">
        <v>154</v>
      </c>
      <c r="B159" s="10"/>
      <c r="C159" s="10"/>
      <c r="D159" s="64" t="str">
        <f aca="false">IF(C159="","",C159&amp;"  |  BOX "&amp;COUNTIF($C$6:C159,C159)&amp;" OF "&amp;COUNTIF($C$6:$C$305,C159)&amp;IF(B159="","","  |  "&amp;B159))</f>
        <v/>
      </c>
      <c r="E159" s="10"/>
      <c r="F159" s="10"/>
      <c r="G159" s="10"/>
      <c r="H159" s="10"/>
      <c r="I159" s="10"/>
      <c r="J159" s="65" t="str">
        <f aca="false">IF(COUNT(G159:I159)=3,G159*H159*I159/1000000,"")</f>
        <v/>
      </c>
      <c r="K159" s="10"/>
      <c r="L159" s="10"/>
      <c r="M159" s="10"/>
    </row>
    <row r="160" customFormat="false" ht="15" hidden="false" customHeight="false" outlineLevel="0" collapsed="false">
      <c r="A160" s="63" t="n">
        <v>155</v>
      </c>
      <c r="B160" s="10"/>
      <c r="C160" s="10"/>
      <c r="D160" s="64" t="str">
        <f aca="false">IF(C160="","",C160&amp;"  |  BOX "&amp;COUNTIF($C$6:C160,C160)&amp;" OF "&amp;COUNTIF($C$6:$C$305,C160)&amp;IF(B160="","","  |  "&amp;B160))</f>
        <v/>
      </c>
      <c r="E160" s="10"/>
      <c r="F160" s="10"/>
      <c r="G160" s="10"/>
      <c r="H160" s="10"/>
      <c r="I160" s="10"/>
      <c r="J160" s="65" t="str">
        <f aca="false">IF(COUNT(G160:I160)=3,G160*H160*I160/1000000,"")</f>
        <v/>
      </c>
      <c r="K160" s="10"/>
      <c r="L160" s="10"/>
      <c r="M160" s="10"/>
    </row>
    <row r="161" customFormat="false" ht="15" hidden="false" customHeight="false" outlineLevel="0" collapsed="false">
      <c r="A161" s="63" t="n">
        <v>156</v>
      </c>
      <c r="B161" s="10"/>
      <c r="C161" s="10"/>
      <c r="D161" s="64" t="str">
        <f aca="false">IF(C161="","",C161&amp;"  |  BOX "&amp;COUNTIF($C$6:C161,C161)&amp;" OF "&amp;COUNTIF($C$6:$C$305,C161)&amp;IF(B161="","","  |  "&amp;B161))</f>
        <v/>
      </c>
      <c r="E161" s="10"/>
      <c r="F161" s="10"/>
      <c r="G161" s="10"/>
      <c r="H161" s="10"/>
      <c r="I161" s="10"/>
      <c r="J161" s="65" t="str">
        <f aca="false">IF(COUNT(G161:I161)=3,G161*H161*I161/1000000,"")</f>
        <v/>
      </c>
      <c r="K161" s="10"/>
      <c r="L161" s="10"/>
      <c r="M161" s="10"/>
    </row>
    <row r="162" customFormat="false" ht="15" hidden="false" customHeight="false" outlineLevel="0" collapsed="false">
      <c r="A162" s="63" t="n">
        <v>157</v>
      </c>
      <c r="B162" s="10"/>
      <c r="C162" s="10"/>
      <c r="D162" s="64" t="str">
        <f aca="false">IF(C162="","",C162&amp;"  |  BOX "&amp;COUNTIF($C$6:C162,C162)&amp;" OF "&amp;COUNTIF($C$6:$C$305,C162)&amp;IF(B162="","","  |  "&amp;B162))</f>
        <v/>
      </c>
      <c r="E162" s="10"/>
      <c r="F162" s="10"/>
      <c r="G162" s="10"/>
      <c r="H162" s="10"/>
      <c r="I162" s="10"/>
      <c r="J162" s="65" t="str">
        <f aca="false">IF(COUNT(G162:I162)=3,G162*H162*I162/1000000,"")</f>
        <v/>
      </c>
      <c r="K162" s="10"/>
      <c r="L162" s="10"/>
      <c r="M162" s="10"/>
    </row>
    <row r="163" customFormat="false" ht="15" hidden="false" customHeight="false" outlineLevel="0" collapsed="false">
      <c r="A163" s="63" t="n">
        <v>158</v>
      </c>
      <c r="B163" s="10"/>
      <c r="C163" s="10"/>
      <c r="D163" s="64" t="str">
        <f aca="false">IF(C163="","",C163&amp;"  |  BOX "&amp;COUNTIF($C$6:C163,C163)&amp;" OF "&amp;COUNTIF($C$6:$C$305,C163)&amp;IF(B163="","","  |  "&amp;B163))</f>
        <v/>
      </c>
      <c r="E163" s="10"/>
      <c r="F163" s="10"/>
      <c r="G163" s="10"/>
      <c r="H163" s="10"/>
      <c r="I163" s="10"/>
      <c r="J163" s="65" t="str">
        <f aca="false">IF(COUNT(G163:I163)=3,G163*H163*I163/1000000,"")</f>
        <v/>
      </c>
      <c r="K163" s="10"/>
      <c r="L163" s="10"/>
      <c r="M163" s="10"/>
    </row>
    <row r="164" customFormat="false" ht="15" hidden="false" customHeight="false" outlineLevel="0" collapsed="false">
      <c r="A164" s="63" t="n">
        <v>159</v>
      </c>
      <c r="B164" s="10"/>
      <c r="C164" s="10"/>
      <c r="D164" s="64" t="str">
        <f aca="false">IF(C164="","",C164&amp;"  |  BOX "&amp;COUNTIF($C$6:C164,C164)&amp;" OF "&amp;COUNTIF($C$6:$C$305,C164)&amp;IF(B164="","","  |  "&amp;B164))</f>
        <v/>
      </c>
      <c r="E164" s="10"/>
      <c r="F164" s="10"/>
      <c r="G164" s="10"/>
      <c r="H164" s="10"/>
      <c r="I164" s="10"/>
      <c r="J164" s="65" t="str">
        <f aca="false">IF(COUNT(G164:I164)=3,G164*H164*I164/1000000,"")</f>
        <v/>
      </c>
      <c r="K164" s="10"/>
      <c r="L164" s="10"/>
      <c r="M164" s="10"/>
    </row>
    <row r="165" customFormat="false" ht="15" hidden="false" customHeight="false" outlineLevel="0" collapsed="false">
      <c r="A165" s="63" t="n">
        <v>160</v>
      </c>
      <c r="B165" s="10"/>
      <c r="C165" s="10"/>
      <c r="D165" s="64" t="str">
        <f aca="false">IF(C165="","",C165&amp;"  |  BOX "&amp;COUNTIF($C$6:C165,C165)&amp;" OF "&amp;COUNTIF($C$6:$C$305,C165)&amp;IF(B165="","","  |  "&amp;B165))</f>
        <v/>
      </c>
      <c r="E165" s="10"/>
      <c r="F165" s="10"/>
      <c r="G165" s="10"/>
      <c r="H165" s="10"/>
      <c r="I165" s="10"/>
      <c r="J165" s="65" t="str">
        <f aca="false">IF(COUNT(G165:I165)=3,G165*H165*I165/1000000,"")</f>
        <v/>
      </c>
      <c r="K165" s="10"/>
      <c r="L165" s="10"/>
      <c r="M165" s="10"/>
    </row>
    <row r="166" customFormat="false" ht="15" hidden="false" customHeight="false" outlineLevel="0" collapsed="false">
      <c r="A166" s="63" t="n">
        <v>161</v>
      </c>
      <c r="B166" s="10"/>
      <c r="C166" s="10"/>
      <c r="D166" s="64" t="str">
        <f aca="false">IF(C166="","",C166&amp;"  |  BOX "&amp;COUNTIF($C$6:C166,C166)&amp;" OF "&amp;COUNTIF($C$6:$C$305,C166)&amp;IF(B166="","","  |  "&amp;B166))</f>
        <v/>
      </c>
      <c r="E166" s="10"/>
      <c r="F166" s="10"/>
      <c r="G166" s="10"/>
      <c r="H166" s="10"/>
      <c r="I166" s="10"/>
      <c r="J166" s="65" t="str">
        <f aca="false">IF(COUNT(G166:I166)=3,G166*H166*I166/1000000,"")</f>
        <v/>
      </c>
      <c r="K166" s="10"/>
      <c r="L166" s="10"/>
      <c r="M166" s="10"/>
    </row>
    <row r="167" customFormat="false" ht="15" hidden="false" customHeight="false" outlineLevel="0" collapsed="false">
      <c r="A167" s="63" t="n">
        <v>162</v>
      </c>
      <c r="B167" s="10"/>
      <c r="C167" s="10"/>
      <c r="D167" s="64" t="str">
        <f aca="false">IF(C167="","",C167&amp;"  |  BOX "&amp;COUNTIF($C$6:C167,C167)&amp;" OF "&amp;COUNTIF($C$6:$C$305,C167)&amp;IF(B167="","","  |  "&amp;B167))</f>
        <v/>
      </c>
      <c r="E167" s="10"/>
      <c r="F167" s="10"/>
      <c r="G167" s="10"/>
      <c r="H167" s="10"/>
      <c r="I167" s="10"/>
      <c r="J167" s="65" t="str">
        <f aca="false">IF(COUNT(G167:I167)=3,G167*H167*I167/1000000,"")</f>
        <v/>
      </c>
      <c r="K167" s="10"/>
      <c r="L167" s="10"/>
      <c r="M167" s="10"/>
    </row>
    <row r="168" customFormat="false" ht="15" hidden="false" customHeight="false" outlineLevel="0" collapsed="false">
      <c r="A168" s="63" t="n">
        <v>163</v>
      </c>
      <c r="B168" s="10"/>
      <c r="C168" s="10"/>
      <c r="D168" s="64" t="str">
        <f aca="false">IF(C168="","",C168&amp;"  |  BOX "&amp;COUNTIF($C$6:C168,C168)&amp;" OF "&amp;COUNTIF($C$6:$C$305,C168)&amp;IF(B168="","","  |  "&amp;B168))</f>
        <v/>
      </c>
      <c r="E168" s="10"/>
      <c r="F168" s="10"/>
      <c r="G168" s="10"/>
      <c r="H168" s="10"/>
      <c r="I168" s="10"/>
      <c r="J168" s="65" t="str">
        <f aca="false">IF(COUNT(G168:I168)=3,G168*H168*I168/1000000,"")</f>
        <v/>
      </c>
      <c r="K168" s="10"/>
      <c r="L168" s="10"/>
      <c r="M168" s="10"/>
    </row>
    <row r="169" customFormat="false" ht="15" hidden="false" customHeight="false" outlineLevel="0" collapsed="false">
      <c r="A169" s="63" t="n">
        <v>164</v>
      </c>
      <c r="B169" s="10"/>
      <c r="C169" s="10"/>
      <c r="D169" s="64" t="str">
        <f aca="false">IF(C169="","",C169&amp;"  |  BOX "&amp;COUNTIF($C$6:C169,C169)&amp;" OF "&amp;COUNTIF($C$6:$C$305,C169)&amp;IF(B169="","","  |  "&amp;B169))</f>
        <v/>
      </c>
      <c r="E169" s="10"/>
      <c r="F169" s="10"/>
      <c r="G169" s="10"/>
      <c r="H169" s="10"/>
      <c r="I169" s="10"/>
      <c r="J169" s="65" t="str">
        <f aca="false">IF(COUNT(G169:I169)=3,G169*H169*I169/1000000,"")</f>
        <v/>
      </c>
      <c r="K169" s="10"/>
      <c r="L169" s="10"/>
      <c r="M169" s="10"/>
    </row>
    <row r="170" customFormat="false" ht="15" hidden="false" customHeight="false" outlineLevel="0" collapsed="false">
      <c r="A170" s="63" t="n">
        <v>165</v>
      </c>
      <c r="B170" s="10"/>
      <c r="C170" s="10"/>
      <c r="D170" s="64" t="str">
        <f aca="false">IF(C170="","",C170&amp;"  |  BOX "&amp;COUNTIF($C$6:C170,C170)&amp;" OF "&amp;COUNTIF($C$6:$C$305,C170)&amp;IF(B170="","","  |  "&amp;B170))</f>
        <v/>
      </c>
      <c r="E170" s="10"/>
      <c r="F170" s="10"/>
      <c r="G170" s="10"/>
      <c r="H170" s="10"/>
      <c r="I170" s="10"/>
      <c r="J170" s="65" t="str">
        <f aca="false">IF(COUNT(G170:I170)=3,G170*H170*I170/1000000,"")</f>
        <v/>
      </c>
      <c r="K170" s="10"/>
      <c r="L170" s="10"/>
      <c r="M170" s="10"/>
    </row>
    <row r="171" customFormat="false" ht="15" hidden="false" customHeight="false" outlineLevel="0" collapsed="false">
      <c r="A171" s="63" t="n">
        <v>166</v>
      </c>
      <c r="B171" s="10"/>
      <c r="C171" s="10"/>
      <c r="D171" s="64" t="str">
        <f aca="false">IF(C171="","",C171&amp;"  |  BOX "&amp;COUNTIF($C$6:C171,C171)&amp;" OF "&amp;COUNTIF($C$6:$C$305,C171)&amp;IF(B171="","","  |  "&amp;B171))</f>
        <v/>
      </c>
      <c r="E171" s="10"/>
      <c r="F171" s="10"/>
      <c r="G171" s="10"/>
      <c r="H171" s="10"/>
      <c r="I171" s="10"/>
      <c r="J171" s="65" t="str">
        <f aca="false">IF(COUNT(G171:I171)=3,G171*H171*I171/1000000,"")</f>
        <v/>
      </c>
      <c r="K171" s="10"/>
      <c r="L171" s="10"/>
      <c r="M171" s="10"/>
    </row>
    <row r="172" customFormat="false" ht="15" hidden="false" customHeight="false" outlineLevel="0" collapsed="false">
      <c r="A172" s="63" t="n">
        <v>167</v>
      </c>
      <c r="B172" s="10"/>
      <c r="C172" s="10"/>
      <c r="D172" s="64" t="str">
        <f aca="false">IF(C172="","",C172&amp;"  |  BOX "&amp;COUNTIF($C$6:C172,C172)&amp;" OF "&amp;COUNTIF($C$6:$C$305,C172)&amp;IF(B172="","","  |  "&amp;B172))</f>
        <v/>
      </c>
      <c r="E172" s="10"/>
      <c r="F172" s="10"/>
      <c r="G172" s="10"/>
      <c r="H172" s="10"/>
      <c r="I172" s="10"/>
      <c r="J172" s="65" t="str">
        <f aca="false">IF(COUNT(G172:I172)=3,G172*H172*I172/1000000,"")</f>
        <v/>
      </c>
      <c r="K172" s="10"/>
      <c r="L172" s="10"/>
      <c r="M172" s="10"/>
    </row>
    <row r="173" customFormat="false" ht="15" hidden="false" customHeight="false" outlineLevel="0" collapsed="false">
      <c r="A173" s="63" t="n">
        <v>168</v>
      </c>
      <c r="B173" s="10"/>
      <c r="C173" s="10"/>
      <c r="D173" s="64" t="str">
        <f aca="false">IF(C173="","",C173&amp;"  |  BOX "&amp;COUNTIF($C$6:C173,C173)&amp;" OF "&amp;COUNTIF($C$6:$C$305,C173)&amp;IF(B173="","","  |  "&amp;B173))</f>
        <v/>
      </c>
      <c r="E173" s="10"/>
      <c r="F173" s="10"/>
      <c r="G173" s="10"/>
      <c r="H173" s="10"/>
      <c r="I173" s="10"/>
      <c r="J173" s="65" t="str">
        <f aca="false">IF(COUNT(G173:I173)=3,G173*H173*I173/1000000,"")</f>
        <v/>
      </c>
      <c r="K173" s="10"/>
      <c r="L173" s="10"/>
      <c r="M173" s="10"/>
    </row>
    <row r="174" customFormat="false" ht="15" hidden="false" customHeight="false" outlineLevel="0" collapsed="false">
      <c r="A174" s="63" t="n">
        <v>169</v>
      </c>
      <c r="B174" s="10"/>
      <c r="C174" s="10"/>
      <c r="D174" s="64" t="str">
        <f aca="false">IF(C174="","",C174&amp;"  |  BOX "&amp;COUNTIF($C$6:C174,C174)&amp;" OF "&amp;COUNTIF($C$6:$C$305,C174)&amp;IF(B174="","","  |  "&amp;B174))</f>
        <v/>
      </c>
      <c r="E174" s="10"/>
      <c r="F174" s="10"/>
      <c r="G174" s="10"/>
      <c r="H174" s="10"/>
      <c r="I174" s="10"/>
      <c r="J174" s="65" t="str">
        <f aca="false">IF(COUNT(G174:I174)=3,G174*H174*I174/1000000,"")</f>
        <v/>
      </c>
      <c r="K174" s="10"/>
      <c r="L174" s="10"/>
      <c r="M174" s="10"/>
    </row>
    <row r="175" customFormat="false" ht="15" hidden="false" customHeight="false" outlineLevel="0" collapsed="false">
      <c r="A175" s="63" t="n">
        <v>170</v>
      </c>
      <c r="B175" s="10"/>
      <c r="C175" s="10"/>
      <c r="D175" s="64" t="str">
        <f aca="false">IF(C175="","",C175&amp;"  |  BOX "&amp;COUNTIF($C$6:C175,C175)&amp;" OF "&amp;COUNTIF($C$6:$C$305,C175)&amp;IF(B175="","","  |  "&amp;B175))</f>
        <v/>
      </c>
      <c r="E175" s="10"/>
      <c r="F175" s="10"/>
      <c r="G175" s="10"/>
      <c r="H175" s="10"/>
      <c r="I175" s="10"/>
      <c r="J175" s="65" t="str">
        <f aca="false">IF(COUNT(G175:I175)=3,G175*H175*I175/1000000,"")</f>
        <v/>
      </c>
      <c r="K175" s="10"/>
      <c r="L175" s="10"/>
      <c r="M175" s="10"/>
    </row>
    <row r="176" customFormat="false" ht="15" hidden="false" customHeight="false" outlineLevel="0" collapsed="false">
      <c r="A176" s="63" t="n">
        <v>171</v>
      </c>
      <c r="B176" s="10"/>
      <c r="C176" s="10"/>
      <c r="D176" s="64" t="str">
        <f aca="false">IF(C176="","",C176&amp;"  |  BOX "&amp;COUNTIF($C$6:C176,C176)&amp;" OF "&amp;COUNTIF($C$6:$C$305,C176)&amp;IF(B176="","","  |  "&amp;B176))</f>
        <v/>
      </c>
      <c r="E176" s="10"/>
      <c r="F176" s="10"/>
      <c r="G176" s="10"/>
      <c r="H176" s="10"/>
      <c r="I176" s="10"/>
      <c r="J176" s="65" t="str">
        <f aca="false">IF(COUNT(G176:I176)=3,G176*H176*I176/1000000,"")</f>
        <v/>
      </c>
      <c r="K176" s="10"/>
      <c r="L176" s="10"/>
      <c r="M176" s="10"/>
    </row>
    <row r="177" customFormat="false" ht="15" hidden="false" customHeight="false" outlineLevel="0" collapsed="false">
      <c r="A177" s="63" t="n">
        <v>172</v>
      </c>
      <c r="B177" s="10"/>
      <c r="C177" s="10"/>
      <c r="D177" s="64" t="str">
        <f aca="false">IF(C177="","",C177&amp;"  |  BOX "&amp;COUNTIF($C$6:C177,C177)&amp;" OF "&amp;COUNTIF($C$6:$C$305,C177)&amp;IF(B177="","","  |  "&amp;B177))</f>
        <v/>
      </c>
      <c r="E177" s="10"/>
      <c r="F177" s="10"/>
      <c r="G177" s="10"/>
      <c r="H177" s="10"/>
      <c r="I177" s="10"/>
      <c r="J177" s="65" t="str">
        <f aca="false">IF(COUNT(G177:I177)=3,G177*H177*I177/1000000,"")</f>
        <v/>
      </c>
      <c r="K177" s="10"/>
      <c r="L177" s="10"/>
      <c r="M177" s="10"/>
    </row>
    <row r="178" customFormat="false" ht="15" hidden="false" customHeight="false" outlineLevel="0" collapsed="false">
      <c r="A178" s="63" t="n">
        <v>173</v>
      </c>
      <c r="B178" s="10"/>
      <c r="C178" s="10"/>
      <c r="D178" s="64" t="str">
        <f aca="false">IF(C178="","",C178&amp;"  |  BOX "&amp;COUNTIF($C$6:C178,C178)&amp;" OF "&amp;COUNTIF($C$6:$C$305,C178)&amp;IF(B178="","","  |  "&amp;B178))</f>
        <v/>
      </c>
      <c r="E178" s="10"/>
      <c r="F178" s="10"/>
      <c r="G178" s="10"/>
      <c r="H178" s="10"/>
      <c r="I178" s="10"/>
      <c r="J178" s="65" t="str">
        <f aca="false">IF(COUNT(G178:I178)=3,G178*H178*I178/1000000,"")</f>
        <v/>
      </c>
      <c r="K178" s="10"/>
      <c r="L178" s="10"/>
      <c r="M178" s="10"/>
    </row>
    <row r="179" customFormat="false" ht="15" hidden="false" customHeight="false" outlineLevel="0" collapsed="false">
      <c r="A179" s="63" t="n">
        <v>174</v>
      </c>
      <c r="B179" s="10"/>
      <c r="C179" s="10"/>
      <c r="D179" s="64" t="str">
        <f aca="false">IF(C179="","",C179&amp;"  |  BOX "&amp;COUNTIF($C$6:C179,C179)&amp;" OF "&amp;COUNTIF($C$6:$C$305,C179)&amp;IF(B179="","","  |  "&amp;B179))</f>
        <v/>
      </c>
      <c r="E179" s="10"/>
      <c r="F179" s="10"/>
      <c r="G179" s="10"/>
      <c r="H179" s="10"/>
      <c r="I179" s="10"/>
      <c r="J179" s="65" t="str">
        <f aca="false">IF(COUNT(G179:I179)=3,G179*H179*I179/1000000,"")</f>
        <v/>
      </c>
      <c r="K179" s="10"/>
      <c r="L179" s="10"/>
      <c r="M179" s="10"/>
    </row>
    <row r="180" customFormat="false" ht="15" hidden="false" customHeight="false" outlineLevel="0" collapsed="false">
      <c r="A180" s="63" t="n">
        <v>175</v>
      </c>
      <c r="B180" s="10"/>
      <c r="C180" s="10"/>
      <c r="D180" s="64" t="str">
        <f aca="false">IF(C180="","",C180&amp;"  |  BOX "&amp;COUNTIF($C$6:C180,C180)&amp;" OF "&amp;COUNTIF($C$6:$C$305,C180)&amp;IF(B180="","","  |  "&amp;B180))</f>
        <v/>
      </c>
      <c r="E180" s="10"/>
      <c r="F180" s="10"/>
      <c r="G180" s="10"/>
      <c r="H180" s="10"/>
      <c r="I180" s="10"/>
      <c r="J180" s="65" t="str">
        <f aca="false">IF(COUNT(G180:I180)=3,G180*H180*I180/1000000,"")</f>
        <v/>
      </c>
      <c r="K180" s="10"/>
      <c r="L180" s="10"/>
      <c r="M180" s="10"/>
    </row>
    <row r="181" customFormat="false" ht="15" hidden="false" customHeight="false" outlineLevel="0" collapsed="false">
      <c r="A181" s="63" t="n">
        <v>176</v>
      </c>
      <c r="B181" s="10"/>
      <c r="C181" s="10"/>
      <c r="D181" s="64" t="str">
        <f aca="false">IF(C181="","",C181&amp;"  |  BOX "&amp;COUNTIF($C$6:C181,C181)&amp;" OF "&amp;COUNTIF($C$6:$C$305,C181)&amp;IF(B181="","","  |  "&amp;B181))</f>
        <v/>
      </c>
      <c r="E181" s="10"/>
      <c r="F181" s="10"/>
      <c r="G181" s="10"/>
      <c r="H181" s="10"/>
      <c r="I181" s="10"/>
      <c r="J181" s="65" t="str">
        <f aca="false">IF(COUNT(G181:I181)=3,G181*H181*I181/1000000,"")</f>
        <v/>
      </c>
      <c r="K181" s="10"/>
      <c r="L181" s="10"/>
      <c r="M181" s="10"/>
    </row>
    <row r="182" customFormat="false" ht="15" hidden="false" customHeight="false" outlineLevel="0" collapsed="false">
      <c r="A182" s="63" t="n">
        <v>177</v>
      </c>
      <c r="B182" s="10"/>
      <c r="C182" s="10"/>
      <c r="D182" s="64" t="str">
        <f aca="false">IF(C182="","",C182&amp;"  |  BOX "&amp;COUNTIF($C$6:C182,C182)&amp;" OF "&amp;COUNTIF($C$6:$C$305,C182)&amp;IF(B182="","","  |  "&amp;B182))</f>
        <v/>
      </c>
      <c r="E182" s="10"/>
      <c r="F182" s="10"/>
      <c r="G182" s="10"/>
      <c r="H182" s="10"/>
      <c r="I182" s="10"/>
      <c r="J182" s="65" t="str">
        <f aca="false">IF(COUNT(G182:I182)=3,G182*H182*I182/1000000,"")</f>
        <v/>
      </c>
      <c r="K182" s="10"/>
      <c r="L182" s="10"/>
      <c r="M182" s="10"/>
    </row>
    <row r="183" customFormat="false" ht="15" hidden="false" customHeight="false" outlineLevel="0" collapsed="false">
      <c r="A183" s="63" t="n">
        <v>178</v>
      </c>
      <c r="B183" s="10"/>
      <c r="C183" s="10"/>
      <c r="D183" s="64" t="str">
        <f aca="false">IF(C183="","",C183&amp;"  |  BOX "&amp;COUNTIF($C$6:C183,C183)&amp;" OF "&amp;COUNTIF($C$6:$C$305,C183)&amp;IF(B183="","","  |  "&amp;B183))</f>
        <v/>
      </c>
      <c r="E183" s="10"/>
      <c r="F183" s="10"/>
      <c r="G183" s="10"/>
      <c r="H183" s="10"/>
      <c r="I183" s="10"/>
      <c r="J183" s="65" t="str">
        <f aca="false">IF(COUNT(G183:I183)=3,G183*H183*I183/1000000,"")</f>
        <v/>
      </c>
      <c r="K183" s="10"/>
      <c r="L183" s="10"/>
      <c r="M183" s="10"/>
    </row>
    <row r="184" customFormat="false" ht="15" hidden="false" customHeight="false" outlineLevel="0" collapsed="false">
      <c r="A184" s="63" t="n">
        <v>179</v>
      </c>
      <c r="B184" s="10"/>
      <c r="C184" s="10"/>
      <c r="D184" s="64" t="str">
        <f aca="false">IF(C184="","",C184&amp;"  |  BOX "&amp;COUNTIF($C$6:C184,C184)&amp;" OF "&amp;COUNTIF($C$6:$C$305,C184)&amp;IF(B184="","","  |  "&amp;B184))</f>
        <v/>
      </c>
      <c r="E184" s="10"/>
      <c r="F184" s="10"/>
      <c r="G184" s="10"/>
      <c r="H184" s="10"/>
      <c r="I184" s="10"/>
      <c r="J184" s="65" t="str">
        <f aca="false">IF(COUNT(G184:I184)=3,G184*H184*I184/1000000,"")</f>
        <v/>
      </c>
      <c r="K184" s="10"/>
      <c r="L184" s="10"/>
      <c r="M184" s="10"/>
    </row>
    <row r="185" customFormat="false" ht="15" hidden="false" customHeight="false" outlineLevel="0" collapsed="false">
      <c r="A185" s="63" t="n">
        <v>180</v>
      </c>
      <c r="B185" s="10"/>
      <c r="C185" s="10"/>
      <c r="D185" s="64" t="str">
        <f aca="false">IF(C185="","",C185&amp;"  |  BOX "&amp;COUNTIF($C$6:C185,C185)&amp;" OF "&amp;COUNTIF($C$6:$C$305,C185)&amp;IF(B185="","","  |  "&amp;B185))</f>
        <v/>
      </c>
      <c r="E185" s="10"/>
      <c r="F185" s="10"/>
      <c r="G185" s="10"/>
      <c r="H185" s="10"/>
      <c r="I185" s="10"/>
      <c r="J185" s="65" t="str">
        <f aca="false">IF(COUNT(G185:I185)=3,G185*H185*I185/1000000,"")</f>
        <v/>
      </c>
      <c r="K185" s="10"/>
      <c r="L185" s="10"/>
      <c r="M185" s="10"/>
    </row>
    <row r="186" customFormat="false" ht="15" hidden="false" customHeight="false" outlineLevel="0" collapsed="false">
      <c r="A186" s="63" t="n">
        <v>181</v>
      </c>
      <c r="B186" s="10"/>
      <c r="C186" s="10"/>
      <c r="D186" s="64" t="str">
        <f aca="false">IF(C186="","",C186&amp;"  |  BOX "&amp;COUNTIF($C$6:C186,C186)&amp;" OF "&amp;COUNTIF($C$6:$C$305,C186)&amp;IF(B186="","","  |  "&amp;B186))</f>
        <v/>
      </c>
      <c r="E186" s="10"/>
      <c r="F186" s="10"/>
      <c r="G186" s="10"/>
      <c r="H186" s="10"/>
      <c r="I186" s="10"/>
      <c r="J186" s="65" t="str">
        <f aca="false">IF(COUNT(G186:I186)=3,G186*H186*I186/1000000,"")</f>
        <v/>
      </c>
      <c r="K186" s="10"/>
      <c r="L186" s="10"/>
      <c r="M186" s="10"/>
    </row>
    <row r="187" customFormat="false" ht="15" hidden="false" customHeight="false" outlineLevel="0" collapsed="false">
      <c r="A187" s="63" t="n">
        <v>182</v>
      </c>
      <c r="B187" s="10"/>
      <c r="C187" s="10"/>
      <c r="D187" s="64" t="str">
        <f aca="false">IF(C187="","",C187&amp;"  |  BOX "&amp;COUNTIF($C$6:C187,C187)&amp;" OF "&amp;COUNTIF($C$6:$C$305,C187)&amp;IF(B187="","","  |  "&amp;B187))</f>
        <v/>
      </c>
      <c r="E187" s="10"/>
      <c r="F187" s="10"/>
      <c r="G187" s="10"/>
      <c r="H187" s="10"/>
      <c r="I187" s="10"/>
      <c r="J187" s="65" t="str">
        <f aca="false">IF(COUNT(G187:I187)=3,G187*H187*I187/1000000,"")</f>
        <v/>
      </c>
      <c r="K187" s="10"/>
      <c r="L187" s="10"/>
      <c r="M187" s="10"/>
    </row>
    <row r="188" customFormat="false" ht="15" hidden="false" customHeight="false" outlineLevel="0" collapsed="false">
      <c r="A188" s="63" t="n">
        <v>183</v>
      </c>
      <c r="B188" s="10"/>
      <c r="C188" s="10"/>
      <c r="D188" s="64" t="str">
        <f aca="false">IF(C188="","",C188&amp;"  |  BOX "&amp;COUNTIF($C$6:C188,C188)&amp;" OF "&amp;COUNTIF($C$6:$C$305,C188)&amp;IF(B188="","","  |  "&amp;B188))</f>
        <v/>
      </c>
      <c r="E188" s="10"/>
      <c r="F188" s="10"/>
      <c r="G188" s="10"/>
      <c r="H188" s="10"/>
      <c r="I188" s="10"/>
      <c r="J188" s="65" t="str">
        <f aca="false">IF(COUNT(G188:I188)=3,G188*H188*I188/1000000,"")</f>
        <v/>
      </c>
      <c r="K188" s="10"/>
      <c r="L188" s="10"/>
      <c r="M188" s="10"/>
    </row>
    <row r="189" customFormat="false" ht="15" hidden="false" customHeight="false" outlineLevel="0" collapsed="false">
      <c r="A189" s="63" t="n">
        <v>184</v>
      </c>
      <c r="B189" s="10"/>
      <c r="C189" s="10"/>
      <c r="D189" s="64" t="str">
        <f aca="false">IF(C189="","",C189&amp;"  |  BOX "&amp;COUNTIF($C$6:C189,C189)&amp;" OF "&amp;COUNTIF($C$6:$C$305,C189)&amp;IF(B189="","","  |  "&amp;B189))</f>
        <v/>
      </c>
      <c r="E189" s="10"/>
      <c r="F189" s="10"/>
      <c r="G189" s="10"/>
      <c r="H189" s="10"/>
      <c r="I189" s="10"/>
      <c r="J189" s="65" t="str">
        <f aca="false">IF(COUNT(G189:I189)=3,G189*H189*I189/1000000,"")</f>
        <v/>
      </c>
      <c r="K189" s="10"/>
      <c r="L189" s="10"/>
      <c r="M189" s="10"/>
    </row>
    <row r="190" customFormat="false" ht="15" hidden="false" customHeight="false" outlineLevel="0" collapsed="false">
      <c r="A190" s="63" t="n">
        <v>185</v>
      </c>
      <c r="B190" s="10"/>
      <c r="C190" s="10"/>
      <c r="D190" s="64" t="str">
        <f aca="false">IF(C190="","",C190&amp;"  |  BOX "&amp;COUNTIF($C$6:C190,C190)&amp;" OF "&amp;COUNTIF($C$6:$C$305,C190)&amp;IF(B190="","","  |  "&amp;B190))</f>
        <v/>
      </c>
      <c r="E190" s="10"/>
      <c r="F190" s="10"/>
      <c r="G190" s="10"/>
      <c r="H190" s="10"/>
      <c r="I190" s="10"/>
      <c r="J190" s="65" t="str">
        <f aca="false">IF(COUNT(G190:I190)=3,G190*H190*I190/1000000,"")</f>
        <v/>
      </c>
      <c r="K190" s="10"/>
      <c r="L190" s="10"/>
      <c r="M190" s="10"/>
    </row>
    <row r="191" customFormat="false" ht="15" hidden="false" customHeight="false" outlineLevel="0" collapsed="false">
      <c r="A191" s="63" t="n">
        <v>186</v>
      </c>
      <c r="B191" s="10"/>
      <c r="C191" s="10"/>
      <c r="D191" s="64" t="str">
        <f aca="false">IF(C191="","",C191&amp;"  |  BOX "&amp;COUNTIF($C$6:C191,C191)&amp;" OF "&amp;COUNTIF($C$6:$C$305,C191)&amp;IF(B191="","","  |  "&amp;B191))</f>
        <v/>
      </c>
      <c r="E191" s="10"/>
      <c r="F191" s="10"/>
      <c r="G191" s="10"/>
      <c r="H191" s="10"/>
      <c r="I191" s="10"/>
      <c r="J191" s="65" t="str">
        <f aca="false">IF(COUNT(G191:I191)=3,G191*H191*I191/1000000,"")</f>
        <v/>
      </c>
      <c r="K191" s="10"/>
      <c r="L191" s="10"/>
      <c r="M191" s="10"/>
    </row>
    <row r="192" customFormat="false" ht="15" hidden="false" customHeight="false" outlineLevel="0" collapsed="false">
      <c r="A192" s="63" t="n">
        <v>187</v>
      </c>
      <c r="B192" s="10"/>
      <c r="C192" s="10"/>
      <c r="D192" s="64" t="str">
        <f aca="false">IF(C192="","",C192&amp;"  |  BOX "&amp;COUNTIF($C$6:C192,C192)&amp;" OF "&amp;COUNTIF($C$6:$C$305,C192)&amp;IF(B192="","","  |  "&amp;B192))</f>
        <v/>
      </c>
      <c r="E192" s="10"/>
      <c r="F192" s="10"/>
      <c r="G192" s="10"/>
      <c r="H192" s="10"/>
      <c r="I192" s="10"/>
      <c r="J192" s="65" t="str">
        <f aca="false">IF(COUNT(G192:I192)=3,G192*H192*I192/1000000,"")</f>
        <v/>
      </c>
      <c r="K192" s="10"/>
      <c r="L192" s="10"/>
      <c r="M192" s="10"/>
    </row>
    <row r="193" customFormat="false" ht="15" hidden="false" customHeight="false" outlineLevel="0" collapsed="false">
      <c r="A193" s="63" t="n">
        <v>188</v>
      </c>
      <c r="B193" s="10"/>
      <c r="C193" s="10"/>
      <c r="D193" s="64" t="str">
        <f aca="false">IF(C193="","",C193&amp;"  |  BOX "&amp;COUNTIF($C$6:C193,C193)&amp;" OF "&amp;COUNTIF($C$6:$C$305,C193)&amp;IF(B193="","","  |  "&amp;B193))</f>
        <v/>
      </c>
      <c r="E193" s="10"/>
      <c r="F193" s="10"/>
      <c r="G193" s="10"/>
      <c r="H193" s="10"/>
      <c r="I193" s="10"/>
      <c r="J193" s="65" t="str">
        <f aca="false">IF(COUNT(G193:I193)=3,G193*H193*I193/1000000,"")</f>
        <v/>
      </c>
      <c r="K193" s="10"/>
      <c r="L193" s="10"/>
      <c r="M193" s="10"/>
    </row>
    <row r="194" customFormat="false" ht="15" hidden="false" customHeight="false" outlineLevel="0" collapsed="false">
      <c r="A194" s="63" t="n">
        <v>189</v>
      </c>
      <c r="B194" s="10"/>
      <c r="C194" s="10"/>
      <c r="D194" s="64" t="str">
        <f aca="false">IF(C194="","",C194&amp;"  |  BOX "&amp;COUNTIF($C$6:C194,C194)&amp;" OF "&amp;COUNTIF($C$6:$C$305,C194)&amp;IF(B194="","","  |  "&amp;B194))</f>
        <v/>
      </c>
      <c r="E194" s="10"/>
      <c r="F194" s="10"/>
      <c r="G194" s="10"/>
      <c r="H194" s="10"/>
      <c r="I194" s="10"/>
      <c r="J194" s="65" t="str">
        <f aca="false">IF(COUNT(G194:I194)=3,G194*H194*I194/1000000,"")</f>
        <v/>
      </c>
      <c r="K194" s="10"/>
      <c r="L194" s="10"/>
      <c r="M194" s="10"/>
    </row>
    <row r="195" customFormat="false" ht="15" hidden="false" customHeight="false" outlineLevel="0" collapsed="false">
      <c r="A195" s="63" t="n">
        <v>190</v>
      </c>
      <c r="B195" s="10"/>
      <c r="C195" s="10"/>
      <c r="D195" s="64" t="str">
        <f aca="false">IF(C195="","",C195&amp;"  |  BOX "&amp;COUNTIF($C$6:C195,C195)&amp;" OF "&amp;COUNTIF($C$6:$C$305,C195)&amp;IF(B195="","","  |  "&amp;B195))</f>
        <v/>
      </c>
      <c r="E195" s="10"/>
      <c r="F195" s="10"/>
      <c r="G195" s="10"/>
      <c r="H195" s="10"/>
      <c r="I195" s="10"/>
      <c r="J195" s="65" t="str">
        <f aca="false">IF(COUNT(G195:I195)=3,G195*H195*I195/1000000,"")</f>
        <v/>
      </c>
      <c r="K195" s="10"/>
      <c r="L195" s="10"/>
      <c r="M195" s="10"/>
    </row>
    <row r="196" customFormat="false" ht="15" hidden="false" customHeight="false" outlineLevel="0" collapsed="false">
      <c r="A196" s="63" t="n">
        <v>191</v>
      </c>
      <c r="B196" s="10"/>
      <c r="C196" s="10"/>
      <c r="D196" s="64" t="str">
        <f aca="false">IF(C196="","",C196&amp;"  |  BOX "&amp;COUNTIF($C$6:C196,C196)&amp;" OF "&amp;COUNTIF($C$6:$C$305,C196)&amp;IF(B196="","","  |  "&amp;B196))</f>
        <v/>
      </c>
      <c r="E196" s="10"/>
      <c r="F196" s="10"/>
      <c r="G196" s="10"/>
      <c r="H196" s="10"/>
      <c r="I196" s="10"/>
      <c r="J196" s="65" t="str">
        <f aca="false">IF(COUNT(G196:I196)=3,G196*H196*I196/1000000,"")</f>
        <v/>
      </c>
      <c r="K196" s="10"/>
      <c r="L196" s="10"/>
      <c r="M196" s="10"/>
    </row>
    <row r="197" customFormat="false" ht="15" hidden="false" customHeight="false" outlineLevel="0" collapsed="false">
      <c r="A197" s="63" t="n">
        <v>192</v>
      </c>
      <c r="B197" s="10"/>
      <c r="C197" s="10"/>
      <c r="D197" s="64" t="str">
        <f aca="false">IF(C197="","",C197&amp;"  |  BOX "&amp;COUNTIF($C$6:C197,C197)&amp;" OF "&amp;COUNTIF($C$6:$C$305,C197)&amp;IF(B197="","","  |  "&amp;B197))</f>
        <v/>
      </c>
      <c r="E197" s="10"/>
      <c r="F197" s="10"/>
      <c r="G197" s="10"/>
      <c r="H197" s="10"/>
      <c r="I197" s="10"/>
      <c r="J197" s="65" t="str">
        <f aca="false">IF(COUNT(G197:I197)=3,G197*H197*I197/1000000,"")</f>
        <v/>
      </c>
      <c r="K197" s="10"/>
      <c r="L197" s="10"/>
      <c r="M197" s="10"/>
    </row>
    <row r="198" customFormat="false" ht="15" hidden="false" customHeight="false" outlineLevel="0" collapsed="false">
      <c r="A198" s="63" t="n">
        <v>193</v>
      </c>
      <c r="B198" s="10"/>
      <c r="C198" s="10"/>
      <c r="D198" s="64" t="str">
        <f aca="false">IF(C198="","",C198&amp;"  |  BOX "&amp;COUNTIF($C$6:C198,C198)&amp;" OF "&amp;COUNTIF($C$6:$C$305,C198)&amp;IF(B198="","","  |  "&amp;B198))</f>
        <v/>
      </c>
      <c r="E198" s="10"/>
      <c r="F198" s="10"/>
      <c r="G198" s="10"/>
      <c r="H198" s="10"/>
      <c r="I198" s="10"/>
      <c r="J198" s="65" t="str">
        <f aca="false">IF(COUNT(G198:I198)=3,G198*H198*I198/1000000,"")</f>
        <v/>
      </c>
      <c r="K198" s="10"/>
      <c r="L198" s="10"/>
      <c r="M198" s="10"/>
    </row>
    <row r="199" customFormat="false" ht="15" hidden="false" customHeight="false" outlineLevel="0" collapsed="false">
      <c r="A199" s="63" t="n">
        <v>194</v>
      </c>
      <c r="B199" s="10"/>
      <c r="C199" s="10"/>
      <c r="D199" s="64" t="str">
        <f aca="false">IF(C199="","",C199&amp;"  |  BOX "&amp;COUNTIF($C$6:C199,C199)&amp;" OF "&amp;COUNTIF($C$6:$C$305,C199)&amp;IF(B199="","","  |  "&amp;B199))</f>
        <v/>
      </c>
      <c r="E199" s="10"/>
      <c r="F199" s="10"/>
      <c r="G199" s="10"/>
      <c r="H199" s="10"/>
      <c r="I199" s="10"/>
      <c r="J199" s="65" t="str">
        <f aca="false">IF(COUNT(G199:I199)=3,G199*H199*I199/1000000,"")</f>
        <v/>
      </c>
      <c r="K199" s="10"/>
      <c r="L199" s="10"/>
      <c r="M199" s="10"/>
    </row>
    <row r="200" customFormat="false" ht="15" hidden="false" customHeight="false" outlineLevel="0" collapsed="false">
      <c r="A200" s="63" t="n">
        <v>195</v>
      </c>
      <c r="B200" s="10"/>
      <c r="C200" s="10"/>
      <c r="D200" s="64" t="str">
        <f aca="false">IF(C200="","",C200&amp;"  |  BOX "&amp;COUNTIF($C$6:C200,C200)&amp;" OF "&amp;COUNTIF($C$6:$C$305,C200)&amp;IF(B200="","","  |  "&amp;B200))</f>
        <v/>
      </c>
      <c r="E200" s="10"/>
      <c r="F200" s="10"/>
      <c r="G200" s="10"/>
      <c r="H200" s="10"/>
      <c r="I200" s="10"/>
      <c r="J200" s="65" t="str">
        <f aca="false">IF(COUNT(G200:I200)=3,G200*H200*I200/1000000,"")</f>
        <v/>
      </c>
      <c r="K200" s="10"/>
      <c r="L200" s="10"/>
      <c r="M200" s="10"/>
    </row>
    <row r="201" customFormat="false" ht="15" hidden="false" customHeight="false" outlineLevel="0" collapsed="false">
      <c r="A201" s="63" t="n">
        <v>196</v>
      </c>
      <c r="B201" s="10"/>
      <c r="C201" s="10"/>
      <c r="D201" s="64" t="str">
        <f aca="false">IF(C201="","",C201&amp;"  |  BOX "&amp;COUNTIF($C$6:C201,C201)&amp;" OF "&amp;COUNTIF($C$6:$C$305,C201)&amp;IF(B201="","","  |  "&amp;B201))</f>
        <v/>
      </c>
      <c r="E201" s="10"/>
      <c r="F201" s="10"/>
      <c r="G201" s="10"/>
      <c r="H201" s="10"/>
      <c r="I201" s="10"/>
      <c r="J201" s="65" t="str">
        <f aca="false">IF(COUNT(G201:I201)=3,G201*H201*I201/1000000,"")</f>
        <v/>
      </c>
      <c r="K201" s="10"/>
      <c r="L201" s="10"/>
      <c r="M201" s="10"/>
    </row>
    <row r="202" customFormat="false" ht="15" hidden="false" customHeight="false" outlineLevel="0" collapsed="false">
      <c r="A202" s="63" t="n">
        <v>197</v>
      </c>
      <c r="B202" s="10"/>
      <c r="C202" s="10"/>
      <c r="D202" s="64" t="str">
        <f aca="false">IF(C202="","",C202&amp;"  |  BOX "&amp;COUNTIF($C$6:C202,C202)&amp;" OF "&amp;COUNTIF($C$6:$C$305,C202)&amp;IF(B202="","","  |  "&amp;B202))</f>
        <v/>
      </c>
      <c r="E202" s="10"/>
      <c r="F202" s="10"/>
      <c r="G202" s="10"/>
      <c r="H202" s="10"/>
      <c r="I202" s="10"/>
      <c r="J202" s="65" t="str">
        <f aca="false">IF(COUNT(G202:I202)=3,G202*H202*I202/1000000,"")</f>
        <v/>
      </c>
      <c r="K202" s="10"/>
      <c r="L202" s="10"/>
      <c r="M202" s="10"/>
    </row>
    <row r="203" customFormat="false" ht="15" hidden="false" customHeight="false" outlineLevel="0" collapsed="false">
      <c r="A203" s="63" t="n">
        <v>198</v>
      </c>
      <c r="B203" s="10"/>
      <c r="C203" s="10"/>
      <c r="D203" s="64" t="str">
        <f aca="false">IF(C203="","",C203&amp;"  |  BOX "&amp;COUNTIF($C$6:C203,C203)&amp;" OF "&amp;COUNTIF($C$6:$C$305,C203)&amp;IF(B203="","","  |  "&amp;B203))</f>
        <v/>
      </c>
      <c r="E203" s="10"/>
      <c r="F203" s="10"/>
      <c r="G203" s="10"/>
      <c r="H203" s="10"/>
      <c r="I203" s="10"/>
      <c r="J203" s="65" t="str">
        <f aca="false">IF(COUNT(G203:I203)=3,G203*H203*I203/1000000,"")</f>
        <v/>
      </c>
      <c r="K203" s="10"/>
      <c r="L203" s="10"/>
      <c r="M203" s="10"/>
    </row>
    <row r="204" customFormat="false" ht="15" hidden="false" customHeight="false" outlineLevel="0" collapsed="false">
      <c r="A204" s="63" t="n">
        <v>199</v>
      </c>
      <c r="B204" s="10"/>
      <c r="C204" s="10"/>
      <c r="D204" s="64" t="str">
        <f aca="false">IF(C204="","",C204&amp;"  |  BOX "&amp;COUNTIF($C$6:C204,C204)&amp;" OF "&amp;COUNTIF($C$6:$C$305,C204)&amp;IF(B204="","","  |  "&amp;B204))</f>
        <v/>
      </c>
      <c r="E204" s="10"/>
      <c r="F204" s="10"/>
      <c r="G204" s="10"/>
      <c r="H204" s="10"/>
      <c r="I204" s="10"/>
      <c r="J204" s="65" t="str">
        <f aca="false">IF(COUNT(G204:I204)=3,G204*H204*I204/1000000,"")</f>
        <v/>
      </c>
      <c r="K204" s="10"/>
      <c r="L204" s="10"/>
      <c r="M204" s="10"/>
    </row>
    <row r="205" customFormat="false" ht="15" hidden="false" customHeight="false" outlineLevel="0" collapsed="false">
      <c r="A205" s="63" t="n">
        <v>200</v>
      </c>
      <c r="B205" s="10"/>
      <c r="C205" s="10"/>
      <c r="D205" s="64" t="str">
        <f aca="false">IF(C205="","",C205&amp;"  |  BOX "&amp;COUNTIF($C$6:C205,C205)&amp;" OF "&amp;COUNTIF($C$6:$C$305,C205)&amp;IF(B205="","","  |  "&amp;B205))</f>
        <v/>
      </c>
      <c r="E205" s="10"/>
      <c r="F205" s="10"/>
      <c r="G205" s="10"/>
      <c r="H205" s="10"/>
      <c r="I205" s="10"/>
      <c r="J205" s="65" t="str">
        <f aca="false">IF(COUNT(G205:I205)=3,G205*H205*I205/1000000,"")</f>
        <v/>
      </c>
      <c r="K205" s="10"/>
      <c r="L205" s="10"/>
      <c r="M205" s="10"/>
    </row>
    <row r="206" customFormat="false" ht="15" hidden="false" customHeight="false" outlineLevel="0" collapsed="false">
      <c r="A206" s="63" t="n">
        <v>201</v>
      </c>
      <c r="B206" s="10"/>
      <c r="C206" s="10"/>
      <c r="D206" s="64" t="str">
        <f aca="false">IF(C206="","",C206&amp;"  |  BOX "&amp;COUNTIF($C$6:C206,C206)&amp;" OF "&amp;COUNTIF($C$6:$C$305,C206)&amp;IF(B206="","","  |  "&amp;B206))</f>
        <v/>
      </c>
      <c r="E206" s="10"/>
      <c r="F206" s="10"/>
      <c r="G206" s="10"/>
      <c r="H206" s="10"/>
      <c r="I206" s="10"/>
      <c r="J206" s="65" t="str">
        <f aca="false">IF(COUNT(G206:I206)=3,G206*H206*I206/1000000,"")</f>
        <v/>
      </c>
      <c r="K206" s="10"/>
      <c r="L206" s="10"/>
      <c r="M206" s="10"/>
    </row>
    <row r="207" customFormat="false" ht="15" hidden="false" customHeight="false" outlineLevel="0" collapsed="false">
      <c r="A207" s="63" t="n">
        <v>202</v>
      </c>
      <c r="B207" s="10"/>
      <c r="C207" s="10"/>
      <c r="D207" s="64" t="str">
        <f aca="false">IF(C207="","",C207&amp;"  |  BOX "&amp;COUNTIF($C$6:C207,C207)&amp;" OF "&amp;COUNTIF($C$6:$C$305,C207)&amp;IF(B207="","","  |  "&amp;B207))</f>
        <v/>
      </c>
      <c r="E207" s="10"/>
      <c r="F207" s="10"/>
      <c r="G207" s="10"/>
      <c r="H207" s="10"/>
      <c r="I207" s="10"/>
      <c r="J207" s="65" t="str">
        <f aca="false">IF(COUNT(G207:I207)=3,G207*H207*I207/1000000,"")</f>
        <v/>
      </c>
      <c r="K207" s="10"/>
      <c r="L207" s="10"/>
      <c r="M207" s="10"/>
    </row>
    <row r="208" customFormat="false" ht="15" hidden="false" customHeight="false" outlineLevel="0" collapsed="false">
      <c r="A208" s="63" t="n">
        <v>203</v>
      </c>
      <c r="B208" s="10"/>
      <c r="C208" s="10"/>
      <c r="D208" s="64" t="str">
        <f aca="false">IF(C208="","",C208&amp;"  |  BOX "&amp;COUNTIF($C$6:C208,C208)&amp;" OF "&amp;COUNTIF($C$6:$C$305,C208)&amp;IF(B208="","","  |  "&amp;B208))</f>
        <v/>
      </c>
      <c r="E208" s="10"/>
      <c r="F208" s="10"/>
      <c r="G208" s="10"/>
      <c r="H208" s="10"/>
      <c r="I208" s="10"/>
      <c r="J208" s="65" t="str">
        <f aca="false">IF(COUNT(G208:I208)=3,G208*H208*I208/1000000,"")</f>
        <v/>
      </c>
      <c r="K208" s="10"/>
      <c r="L208" s="10"/>
      <c r="M208" s="10"/>
    </row>
    <row r="209" customFormat="false" ht="15" hidden="false" customHeight="false" outlineLevel="0" collapsed="false">
      <c r="A209" s="63" t="n">
        <v>204</v>
      </c>
      <c r="B209" s="10"/>
      <c r="C209" s="10"/>
      <c r="D209" s="64" t="str">
        <f aca="false">IF(C209="","",C209&amp;"  |  BOX "&amp;COUNTIF($C$6:C209,C209)&amp;" OF "&amp;COUNTIF($C$6:$C$305,C209)&amp;IF(B209="","","  |  "&amp;B209))</f>
        <v/>
      </c>
      <c r="E209" s="10"/>
      <c r="F209" s="10"/>
      <c r="G209" s="10"/>
      <c r="H209" s="10"/>
      <c r="I209" s="10"/>
      <c r="J209" s="65" t="str">
        <f aca="false">IF(COUNT(G209:I209)=3,G209*H209*I209/1000000,"")</f>
        <v/>
      </c>
      <c r="K209" s="10"/>
      <c r="L209" s="10"/>
      <c r="M209" s="10"/>
    </row>
    <row r="210" customFormat="false" ht="15" hidden="false" customHeight="false" outlineLevel="0" collapsed="false">
      <c r="A210" s="63" t="n">
        <v>205</v>
      </c>
      <c r="B210" s="10"/>
      <c r="C210" s="10"/>
      <c r="D210" s="64" t="str">
        <f aca="false">IF(C210="","",C210&amp;"  |  BOX "&amp;COUNTIF($C$6:C210,C210)&amp;" OF "&amp;COUNTIF($C$6:$C$305,C210)&amp;IF(B210="","","  |  "&amp;B210))</f>
        <v/>
      </c>
      <c r="E210" s="10"/>
      <c r="F210" s="10"/>
      <c r="G210" s="10"/>
      <c r="H210" s="10"/>
      <c r="I210" s="10"/>
      <c r="J210" s="65" t="str">
        <f aca="false">IF(COUNT(G210:I210)=3,G210*H210*I210/1000000,"")</f>
        <v/>
      </c>
      <c r="K210" s="10"/>
      <c r="L210" s="10"/>
      <c r="M210" s="10"/>
    </row>
    <row r="211" customFormat="false" ht="15" hidden="false" customHeight="false" outlineLevel="0" collapsed="false">
      <c r="A211" s="63" t="n">
        <v>206</v>
      </c>
      <c r="B211" s="10"/>
      <c r="C211" s="10"/>
      <c r="D211" s="64" t="str">
        <f aca="false">IF(C211="","",C211&amp;"  |  BOX "&amp;COUNTIF($C$6:C211,C211)&amp;" OF "&amp;COUNTIF($C$6:$C$305,C211)&amp;IF(B211="","","  |  "&amp;B211))</f>
        <v/>
      </c>
      <c r="E211" s="10"/>
      <c r="F211" s="10"/>
      <c r="G211" s="10"/>
      <c r="H211" s="10"/>
      <c r="I211" s="10"/>
      <c r="J211" s="65" t="str">
        <f aca="false">IF(COUNT(G211:I211)=3,G211*H211*I211/1000000,"")</f>
        <v/>
      </c>
      <c r="K211" s="10"/>
      <c r="L211" s="10"/>
      <c r="M211" s="10"/>
    </row>
    <row r="212" customFormat="false" ht="15" hidden="false" customHeight="false" outlineLevel="0" collapsed="false">
      <c r="A212" s="63" t="n">
        <v>207</v>
      </c>
      <c r="B212" s="10"/>
      <c r="C212" s="10"/>
      <c r="D212" s="64" t="str">
        <f aca="false">IF(C212="","",C212&amp;"  |  BOX "&amp;COUNTIF($C$6:C212,C212)&amp;" OF "&amp;COUNTIF($C$6:$C$305,C212)&amp;IF(B212="","","  |  "&amp;B212))</f>
        <v/>
      </c>
      <c r="E212" s="10"/>
      <c r="F212" s="10"/>
      <c r="G212" s="10"/>
      <c r="H212" s="10"/>
      <c r="I212" s="10"/>
      <c r="J212" s="65" t="str">
        <f aca="false">IF(COUNT(G212:I212)=3,G212*H212*I212/1000000,"")</f>
        <v/>
      </c>
      <c r="K212" s="10"/>
      <c r="L212" s="10"/>
      <c r="M212" s="10"/>
    </row>
    <row r="213" customFormat="false" ht="15" hidden="false" customHeight="false" outlineLevel="0" collapsed="false">
      <c r="A213" s="63" t="n">
        <v>208</v>
      </c>
      <c r="B213" s="10"/>
      <c r="C213" s="10"/>
      <c r="D213" s="64" t="str">
        <f aca="false">IF(C213="","",C213&amp;"  |  BOX "&amp;COUNTIF($C$6:C213,C213)&amp;" OF "&amp;COUNTIF($C$6:$C$305,C213)&amp;IF(B213="","","  |  "&amp;B213))</f>
        <v/>
      </c>
      <c r="E213" s="10"/>
      <c r="F213" s="10"/>
      <c r="G213" s="10"/>
      <c r="H213" s="10"/>
      <c r="I213" s="10"/>
      <c r="J213" s="65" t="str">
        <f aca="false">IF(COUNT(G213:I213)=3,G213*H213*I213/1000000,"")</f>
        <v/>
      </c>
      <c r="K213" s="10"/>
      <c r="L213" s="10"/>
      <c r="M213" s="10"/>
    </row>
    <row r="214" customFormat="false" ht="15" hidden="false" customHeight="false" outlineLevel="0" collapsed="false">
      <c r="A214" s="63" t="n">
        <v>209</v>
      </c>
      <c r="B214" s="10"/>
      <c r="C214" s="10"/>
      <c r="D214" s="64" t="str">
        <f aca="false">IF(C214="","",C214&amp;"  |  BOX "&amp;COUNTIF($C$6:C214,C214)&amp;" OF "&amp;COUNTIF($C$6:$C$305,C214)&amp;IF(B214="","","  |  "&amp;B214))</f>
        <v/>
      </c>
      <c r="E214" s="10"/>
      <c r="F214" s="10"/>
      <c r="G214" s="10"/>
      <c r="H214" s="10"/>
      <c r="I214" s="10"/>
      <c r="J214" s="65" t="str">
        <f aca="false">IF(COUNT(G214:I214)=3,G214*H214*I214/1000000,"")</f>
        <v/>
      </c>
      <c r="K214" s="10"/>
      <c r="L214" s="10"/>
      <c r="M214" s="10"/>
    </row>
    <row r="215" customFormat="false" ht="15" hidden="false" customHeight="false" outlineLevel="0" collapsed="false">
      <c r="A215" s="63" t="n">
        <v>210</v>
      </c>
      <c r="B215" s="10"/>
      <c r="C215" s="10"/>
      <c r="D215" s="64" t="str">
        <f aca="false">IF(C215="","",C215&amp;"  |  BOX "&amp;COUNTIF($C$6:C215,C215)&amp;" OF "&amp;COUNTIF($C$6:$C$305,C215)&amp;IF(B215="","","  |  "&amp;B215))</f>
        <v/>
      </c>
      <c r="E215" s="10"/>
      <c r="F215" s="10"/>
      <c r="G215" s="10"/>
      <c r="H215" s="10"/>
      <c r="I215" s="10"/>
      <c r="J215" s="65" t="str">
        <f aca="false">IF(COUNT(G215:I215)=3,G215*H215*I215/1000000,"")</f>
        <v/>
      </c>
      <c r="K215" s="10"/>
      <c r="L215" s="10"/>
      <c r="M215" s="10"/>
    </row>
    <row r="216" customFormat="false" ht="15" hidden="false" customHeight="false" outlineLevel="0" collapsed="false">
      <c r="A216" s="63" t="n">
        <v>211</v>
      </c>
      <c r="B216" s="10"/>
      <c r="C216" s="10"/>
      <c r="D216" s="64" t="str">
        <f aca="false">IF(C216="","",C216&amp;"  |  BOX "&amp;COUNTIF($C$6:C216,C216)&amp;" OF "&amp;COUNTIF($C$6:$C$305,C216)&amp;IF(B216="","","  |  "&amp;B216))</f>
        <v/>
      </c>
      <c r="E216" s="10"/>
      <c r="F216" s="10"/>
      <c r="G216" s="10"/>
      <c r="H216" s="10"/>
      <c r="I216" s="10"/>
      <c r="J216" s="65" t="str">
        <f aca="false">IF(COUNT(G216:I216)=3,G216*H216*I216/1000000,"")</f>
        <v/>
      </c>
      <c r="K216" s="10"/>
      <c r="L216" s="10"/>
      <c r="M216" s="10"/>
    </row>
    <row r="217" customFormat="false" ht="15" hidden="false" customHeight="false" outlineLevel="0" collapsed="false">
      <c r="A217" s="63" t="n">
        <v>212</v>
      </c>
      <c r="B217" s="10"/>
      <c r="C217" s="10"/>
      <c r="D217" s="64" t="str">
        <f aca="false">IF(C217="","",C217&amp;"  |  BOX "&amp;COUNTIF($C$6:C217,C217)&amp;" OF "&amp;COUNTIF($C$6:$C$305,C217)&amp;IF(B217="","","  |  "&amp;B217))</f>
        <v/>
      </c>
      <c r="E217" s="10"/>
      <c r="F217" s="10"/>
      <c r="G217" s="10"/>
      <c r="H217" s="10"/>
      <c r="I217" s="10"/>
      <c r="J217" s="65" t="str">
        <f aca="false">IF(COUNT(G217:I217)=3,G217*H217*I217/1000000,"")</f>
        <v/>
      </c>
      <c r="K217" s="10"/>
      <c r="L217" s="10"/>
      <c r="M217" s="10"/>
    </row>
    <row r="218" customFormat="false" ht="15" hidden="false" customHeight="false" outlineLevel="0" collapsed="false">
      <c r="A218" s="63" t="n">
        <v>213</v>
      </c>
      <c r="B218" s="10"/>
      <c r="C218" s="10"/>
      <c r="D218" s="64" t="str">
        <f aca="false">IF(C218="","",C218&amp;"  |  BOX "&amp;COUNTIF($C$6:C218,C218)&amp;" OF "&amp;COUNTIF($C$6:$C$305,C218)&amp;IF(B218="","","  |  "&amp;B218))</f>
        <v/>
      </c>
      <c r="E218" s="10"/>
      <c r="F218" s="10"/>
      <c r="G218" s="10"/>
      <c r="H218" s="10"/>
      <c r="I218" s="10"/>
      <c r="J218" s="65" t="str">
        <f aca="false">IF(COUNT(G218:I218)=3,G218*H218*I218/1000000,"")</f>
        <v/>
      </c>
      <c r="K218" s="10"/>
      <c r="L218" s="10"/>
      <c r="M218" s="10"/>
    </row>
    <row r="219" customFormat="false" ht="15" hidden="false" customHeight="false" outlineLevel="0" collapsed="false">
      <c r="A219" s="63" t="n">
        <v>214</v>
      </c>
      <c r="B219" s="10"/>
      <c r="C219" s="10"/>
      <c r="D219" s="64" t="str">
        <f aca="false">IF(C219="","",C219&amp;"  |  BOX "&amp;COUNTIF($C$6:C219,C219)&amp;" OF "&amp;COUNTIF($C$6:$C$305,C219)&amp;IF(B219="","","  |  "&amp;B219))</f>
        <v/>
      </c>
      <c r="E219" s="10"/>
      <c r="F219" s="10"/>
      <c r="G219" s="10"/>
      <c r="H219" s="10"/>
      <c r="I219" s="10"/>
      <c r="J219" s="65" t="str">
        <f aca="false">IF(COUNT(G219:I219)=3,G219*H219*I219/1000000,"")</f>
        <v/>
      </c>
      <c r="K219" s="10"/>
      <c r="L219" s="10"/>
      <c r="M219" s="10"/>
    </row>
    <row r="220" customFormat="false" ht="15" hidden="false" customHeight="false" outlineLevel="0" collapsed="false">
      <c r="A220" s="63" t="n">
        <v>215</v>
      </c>
      <c r="B220" s="10"/>
      <c r="C220" s="10"/>
      <c r="D220" s="64" t="str">
        <f aca="false">IF(C220="","",C220&amp;"  |  BOX "&amp;COUNTIF($C$6:C220,C220)&amp;" OF "&amp;COUNTIF($C$6:$C$305,C220)&amp;IF(B220="","","  |  "&amp;B220))</f>
        <v/>
      </c>
      <c r="E220" s="10"/>
      <c r="F220" s="10"/>
      <c r="G220" s="10"/>
      <c r="H220" s="10"/>
      <c r="I220" s="10"/>
      <c r="J220" s="65" t="str">
        <f aca="false">IF(COUNT(G220:I220)=3,G220*H220*I220/1000000,"")</f>
        <v/>
      </c>
      <c r="K220" s="10"/>
      <c r="L220" s="10"/>
      <c r="M220" s="10"/>
    </row>
    <row r="221" customFormat="false" ht="15" hidden="false" customHeight="false" outlineLevel="0" collapsed="false">
      <c r="A221" s="63" t="n">
        <v>216</v>
      </c>
      <c r="B221" s="10"/>
      <c r="C221" s="10"/>
      <c r="D221" s="64" t="str">
        <f aca="false">IF(C221="","",C221&amp;"  |  BOX "&amp;COUNTIF($C$6:C221,C221)&amp;" OF "&amp;COUNTIF($C$6:$C$305,C221)&amp;IF(B221="","","  |  "&amp;B221))</f>
        <v/>
      </c>
      <c r="E221" s="10"/>
      <c r="F221" s="10"/>
      <c r="G221" s="10"/>
      <c r="H221" s="10"/>
      <c r="I221" s="10"/>
      <c r="J221" s="65" t="str">
        <f aca="false">IF(COUNT(G221:I221)=3,G221*H221*I221/1000000,"")</f>
        <v/>
      </c>
      <c r="K221" s="10"/>
      <c r="L221" s="10"/>
      <c r="M221" s="10"/>
    </row>
    <row r="222" customFormat="false" ht="15" hidden="false" customHeight="false" outlineLevel="0" collapsed="false">
      <c r="A222" s="63" t="n">
        <v>217</v>
      </c>
      <c r="B222" s="10"/>
      <c r="C222" s="10"/>
      <c r="D222" s="64" t="str">
        <f aca="false">IF(C222="","",C222&amp;"  |  BOX "&amp;COUNTIF($C$6:C222,C222)&amp;" OF "&amp;COUNTIF($C$6:$C$305,C222)&amp;IF(B222="","","  |  "&amp;B222))</f>
        <v/>
      </c>
      <c r="E222" s="10"/>
      <c r="F222" s="10"/>
      <c r="G222" s="10"/>
      <c r="H222" s="10"/>
      <c r="I222" s="10"/>
      <c r="J222" s="65" t="str">
        <f aca="false">IF(COUNT(G222:I222)=3,G222*H222*I222/1000000,"")</f>
        <v/>
      </c>
      <c r="K222" s="10"/>
      <c r="L222" s="10"/>
      <c r="M222" s="10"/>
    </row>
    <row r="223" customFormat="false" ht="15" hidden="false" customHeight="false" outlineLevel="0" collapsed="false">
      <c r="A223" s="63" t="n">
        <v>218</v>
      </c>
      <c r="B223" s="10"/>
      <c r="C223" s="10"/>
      <c r="D223" s="64" t="str">
        <f aca="false">IF(C223="","",C223&amp;"  |  BOX "&amp;COUNTIF($C$6:C223,C223)&amp;" OF "&amp;COUNTIF($C$6:$C$305,C223)&amp;IF(B223="","","  |  "&amp;B223))</f>
        <v/>
      </c>
      <c r="E223" s="10"/>
      <c r="F223" s="10"/>
      <c r="G223" s="10"/>
      <c r="H223" s="10"/>
      <c r="I223" s="10"/>
      <c r="J223" s="65" t="str">
        <f aca="false">IF(COUNT(G223:I223)=3,G223*H223*I223/1000000,"")</f>
        <v/>
      </c>
      <c r="K223" s="10"/>
      <c r="L223" s="10"/>
      <c r="M223" s="10"/>
    </row>
    <row r="224" customFormat="false" ht="15" hidden="false" customHeight="false" outlineLevel="0" collapsed="false">
      <c r="A224" s="63" t="n">
        <v>219</v>
      </c>
      <c r="B224" s="10"/>
      <c r="C224" s="10"/>
      <c r="D224" s="64" t="str">
        <f aca="false">IF(C224="","",C224&amp;"  |  BOX "&amp;COUNTIF($C$6:C224,C224)&amp;" OF "&amp;COUNTIF($C$6:$C$305,C224)&amp;IF(B224="","","  |  "&amp;B224))</f>
        <v/>
      </c>
      <c r="E224" s="10"/>
      <c r="F224" s="10"/>
      <c r="G224" s="10"/>
      <c r="H224" s="10"/>
      <c r="I224" s="10"/>
      <c r="J224" s="65" t="str">
        <f aca="false">IF(COUNT(G224:I224)=3,G224*H224*I224/1000000,"")</f>
        <v/>
      </c>
      <c r="K224" s="10"/>
      <c r="L224" s="10"/>
      <c r="M224" s="10"/>
    </row>
    <row r="225" customFormat="false" ht="15" hidden="false" customHeight="false" outlineLevel="0" collapsed="false">
      <c r="A225" s="63" t="n">
        <v>220</v>
      </c>
      <c r="B225" s="10"/>
      <c r="C225" s="10"/>
      <c r="D225" s="64" t="str">
        <f aca="false">IF(C225="","",C225&amp;"  |  BOX "&amp;COUNTIF($C$6:C225,C225)&amp;" OF "&amp;COUNTIF($C$6:$C$305,C225)&amp;IF(B225="","","  |  "&amp;B225))</f>
        <v/>
      </c>
      <c r="E225" s="10"/>
      <c r="F225" s="10"/>
      <c r="G225" s="10"/>
      <c r="H225" s="10"/>
      <c r="I225" s="10"/>
      <c r="J225" s="65" t="str">
        <f aca="false">IF(COUNT(G225:I225)=3,G225*H225*I225/1000000,"")</f>
        <v/>
      </c>
      <c r="K225" s="10"/>
      <c r="L225" s="10"/>
      <c r="M225" s="10"/>
    </row>
    <row r="226" customFormat="false" ht="15" hidden="false" customHeight="false" outlineLevel="0" collapsed="false">
      <c r="A226" s="63" t="n">
        <v>221</v>
      </c>
      <c r="B226" s="10"/>
      <c r="C226" s="10"/>
      <c r="D226" s="64" t="str">
        <f aca="false">IF(C226="","",C226&amp;"  |  BOX "&amp;COUNTIF($C$6:C226,C226)&amp;" OF "&amp;COUNTIF($C$6:$C$305,C226)&amp;IF(B226="","","  |  "&amp;B226))</f>
        <v/>
      </c>
      <c r="E226" s="10"/>
      <c r="F226" s="10"/>
      <c r="G226" s="10"/>
      <c r="H226" s="10"/>
      <c r="I226" s="10"/>
      <c r="J226" s="65" t="str">
        <f aca="false">IF(COUNT(G226:I226)=3,G226*H226*I226/1000000,"")</f>
        <v/>
      </c>
      <c r="K226" s="10"/>
      <c r="L226" s="10"/>
      <c r="M226" s="10"/>
    </row>
    <row r="227" customFormat="false" ht="15" hidden="false" customHeight="false" outlineLevel="0" collapsed="false">
      <c r="A227" s="63" t="n">
        <v>222</v>
      </c>
      <c r="B227" s="10"/>
      <c r="C227" s="10"/>
      <c r="D227" s="64" t="str">
        <f aca="false">IF(C227="","",C227&amp;"  |  BOX "&amp;COUNTIF($C$6:C227,C227)&amp;" OF "&amp;COUNTIF($C$6:$C$305,C227)&amp;IF(B227="","","  |  "&amp;B227))</f>
        <v/>
      </c>
      <c r="E227" s="10"/>
      <c r="F227" s="10"/>
      <c r="G227" s="10"/>
      <c r="H227" s="10"/>
      <c r="I227" s="10"/>
      <c r="J227" s="65" t="str">
        <f aca="false">IF(COUNT(G227:I227)=3,G227*H227*I227/1000000,"")</f>
        <v/>
      </c>
      <c r="K227" s="10"/>
      <c r="L227" s="10"/>
      <c r="M227" s="10"/>
    </row>
    <row r="228" customFormat="false" ht="15" hidden="false" customHeight="false" outlineLevel="0" collapsed="false">
      <c r="A228" s="63" t="n">
        <v>223</v>
      </c>
      <c r="B228" s="10"/>
      <c r="C228" s="10"/>
      <c r="D228" s="64" t="str">
        <f aca="false">IF(C228="","",C228&amp;"  |  BOX "&amp;COUNTIF($C$6:C228,C228)&amp;" OF "&amp;COUNTIF($C$6:$C$305,C228)&amp;IF(B228="","","  |  "&amp;B228))</f>
        <v/>
      </c>
      <c r="E228" s="10"/>
      <c r="F228" s="10"/>
      <c r="G228" s="10"/>
      <c r="H228" s="10"/>
      <c r="I228" s="10"/>
      <c r="J228" s="65" t="str">
        <f aca="false">IF(COUNT(G228:I228)=3,G228*H228*I228/1000000,"")</f>
        <v/>
      </c>
      <c r="K228" s="10"/>
      <c r="L228" s="10"/>
      <c r="M228" s="10"/>
    </row>
    <row r="229" customFormat="false" ht="15" hidden="false" customHeight="false" outlineLevel="0" collapsed="false">
      <c r="A229" s="63" t="n">
        <v>224</v>
      </c>
      <c r="B229" s="10"/>
      <c r="C229" s="10"/>
      <c r="D229" s="64" t="str">
        <f aca="false">IF(C229="","",C229&amp;"  |  BOX "&amp;COUNTIF($C$6:C229,C229)&amp;" OF "&amp;COUNTIF($C$6:$C$305,C229)&amp;IF(B229="","","  |  "&amp;B229))</f>
        <v/>
      </c>
      <c r="E229" s="10"/>
      <c r="F229" s="10"/>
      <c r="G229" s="10"/>
      <c r="H229" s="10"/>
      <c r="I229" s="10"/>
      <c r="J229" s="65" t="str">
        <f aca="false">IF(COUNT(G229:I229)=3,G229*H229*I229/1000000,"")</f>
        <v/>
      </c>
      <c r="K229" s="10"/>
      <c r="L229" s="10"/>
      <c r="M229" s="10"/>
    </row>
    <row r="230" customFormat="false" ht="15" hidden="false" customHeight="false" outlineLevel="0" collapsed="false">
      <c r="A230" s="63" t="n">
        <v>225</v>
      </c>
      <c r="B230" s="10"/>
      <c r="C230" s="10"/>
      <c r="D230" s="64" t="str">
        <f aca="false">IF(C230="","",C230&amp;"  |  BOX "&amp;COUNTIF($C$6:C230,C230)&amp;" OF "&amp;COUNTIF($C$6:$C$305,C230)&amp;IF(B230="","","  |  "&amp;B230))</f>
        <v/>
      </c>
      <c r="E230" s="10"/>
      <c r="F230" s="10"/>
      <c r="G230" s="10"/>
      <c r="H230" s="10"/>
      <c r="I230" s="10"/>
      <c r="J230" s="65" t="str">
        <f aca="false">IF(COUNT(G230:I230)=3,G230*H230*I230/1000000,"")</f>
        <v/>
      </c>
      <c r="K230" s="10"/>
      <c r="L230" s="10"/>
      <c r="M230" s="10"/>
    </row>
    <row r="231" customFormat="false" ht="15" hidden="false" customHeight="false" outlineLevel="0" collapsed="false">
      <c r="A231" s="63" t="n">
        <v>226</v>
      </c>
      <c r="B231" s="10"/>
      <c r="C231" s="10"/>
      <c r="D231" s="64" t="str">
        <f aca="false">IF(C231="","",C231&amp;"  |  BOX "&amp;COUNTIF($C$6:C231,C231)&amp;" OF "&amp;COUNTIF($C$6:$C$305,C231)&amp;IF(B231="","","  |  "&amp;B231))</f>
        <v/>
      </c>
      <c r="E231" s="10"/>
      <c r="F231" s="10"/>
      <c r="G231" s="10"/>
      <c r="H231" s="10"/>
      <c r="I231" s="10"/>
      <c r="J231" s="65" t="str">
        <f aca="false">IF(COUNT(G231:I231)=3,G231*H231*I231/1000000,"")</f>
        <v/>
      </c>
      <c r="K231" s="10"/>
      <c r="L231" s="10"/>
      <c r="M231" s="10"/>
    </row>
    <row r="232" customFormat="false" ht="15" hidden="false" customHeight="false" outlineLevel="0" collapsed="false">
      <c r="A232" s="63" t="n">
        <v>227</v>
      </c>
      <c r="B232" s="10"/>
      <c r="C232" s="10"/>
      <c r="D232" s="64" t="str">
        <f aca="false">IF(C232="","",C232&amp;"  |  BOX "&amp;COUNTIF($C$6:C232,C232)&amp;" OF "&amp;COUNTIF($C$6:$C$305,C232)&amp;IF(B232="","","  |  "&amp;B232))</f>
        <v/>
      </c>
      <c r="E232" s="10"/>
      <c r="F232" s="10"/>
      <c r="G232" s="10"/>
      <c r="H232" s="10"/>
      <c r="I232" s="10"/>
      <c r="J232" s="65" t="str">
        <f aca="false">IF(COUNT(G232:I232)=3,G232*H232*I232/1000000,"")</f>
        <v/>
      </c>
      <c r="K232" s="10"/>
      <c r="L232" s="10"/>
      <c r="M232" s="10"/>
    </row>
    <row r="233" customFormat="false" ht="15" hidden="false" customHeight="false" outlineLevel="0" collapsed="false">
      <c r="A233" s="63" t="n">
        <v>228</v>
      </c>
      <c r="B233" s="10"/>
      <c r="C233" s="10"/>
      <c r="D233" s="64" t="str">
        <f aca="false">IF(C233="","",C233&amp;"  |  BOX "&amp;COUNTIF($C$6:C233,C233)&amp;" OF "&amp;COUNTIF($C$6:$C$305,C233)&amp;IF(B233="","","  |  "&amp;B233))</f>
        <v/>
      </c>
      <c r="E233" s="10"/>
      <c r="F233" s="10"/>
      <c r="G233" s="10"/>
      <c r="H233" s="10"/>
      <c r="I233" s="10"/>
      <c r="J233" s="65" t="str">
        <f aca="false">IF(COUNT(G233:I233)=3,G233*H233*I233/1000000,"")</f>
        <v/>
      </c>
      <c r="K233" s="10"/>
      <c r="L233" s="10"/>
      <c r="M233" s="10"/>
    </row>
    <row r="234" customFormat="false" ht="15" hidden="false" customHeight="false" outlineLevel="0" collapsed="false">
      <c r="A234" s="63" t="n">
        <v>229</v>
      </c>
      <c r="B234" s="10"/>
      <c r="C234" s="10"/>
      <c r="D234" s="64" t="str">
        <f aca="false">IF(C234="","",C234&amp;"  |  BOX "&amp;COUNTIF($C$6:C234,C234)&amp;" OF "&amp;COUNTIF($C$6:$C$305,C234)&amp;IF(B234="","","  |  "&amp;B234))</f>
        <v/>
      </c>
      <c r="E234" s="10"/>
      <c r="F234" s="10"/>
      <c r="G234" s="10"/>
      <c r="H234" s="10"/>
      <c r="I234" s="10"/>
      <c r="J234" s="65" t="str">
        <f aca="false">IF(COUNT(G234:I234)=3,G234*H234*I234/1000000,"")</f>
        <v/>
      </c>
      <c r="K234" s="10"/>
      <c r="L234" s="10"/>
      <c r="M234" s="10"/>
    </row>
    <row r="235" customFormat="false" ht="15" hidden="false" customHeight="false" outlineLevel="0" collapsed="false">
      <c r="A235" s="63" t="n">
        <v>230</v>
      </c>
      <c r="B235" s="10"/>
      <c r="C235" s="10"/>
      <c r="D235" s="64" t="str">
        <f aca="false">IF(C235="","",C235&amp;"  |  BOX "&amp;COUNTIF($C$6:C235,C235)&amp;" OF "&amp;COUNTIF($C$6:$C$305,C235)&amp;IF(B235="","","  |  "&amp;B235))</f>
        <v/>
      </c>
      <c r="E235" s="10"/>
      <c r="F235" s="10"/>
      <c r="G235" s="10"/>
      <c r="H235" s="10"/>
      <c r="I235" s="10"/>
      <c r="J235" s="65" t="str">
        <f aca="false">IF(COUNT(G235:I235)=3,G235*H235*I235/1000000,"")</f>
        <v/>
      </c>
      <c r="K235" s="10"/>
      <c r="L235" s="10"/>
      <c r="M235" s="10"/>
    </row>
    <row r="236" customFormat="false" ht="15" hidden="false" customHeight="false" outlineLevel="0" collapsed="false">
      <c r="A236" s="63" t="n">
        <v>231</v>
      </c>
      <c r="B236" s="10"/>
      <c r="C236" s="10"/>
      <c r="D236" s="64" t="str">
        <f aca="false">IF(C236="","",C236&amp;"  |  BOX "&amp;COUNTIF($C$6:C236,C236)&amp;" OF "&amp;COUNTIF($C$6:$C$305,C236)&amp;IF(B236="","","  |  "&amp;B236))</f>
        <v/>
      </c>
      <c r="E236" s="10"/>
      <c r="F236" s="10"/>
      <c r="G236" s="10"/>
      <c r="H236" s="10"/>
      <c r="I236" s="10"/>
      <c r="J236" s="65" t="str">
        <f aca="false">IF(COUNT(G236:I236)=3,G236*H236*I236/1000000,"")</f>
        <v/>
      </c>
      <c r="K236" s="10"/>
      <c r="L236" s="10"/>
      <c r="M236" s="10"/>
    </row>
    <row r="237" customFormat="false" ht="15" hidden="false" customHeight="false" outlineLevel="0" collapsed="false">
      <c r="A237" s="63" t="n">
        <v>232</v>
      </c>
      <c r="B237" s="10"/>
      <c r="C237" s="10"/>
      <c r="D237" s="64" t="str">
        <f aca="false">IF(C237="","",C237&amp;"  |  BOX "&amp;COUNTIF($C$6:C237,C237)&amp;" OF "&amp;COUNTIF($C$6:$C$305,C237)&amp;IF(B237="","","  |  "&amp;B237))</f>
        <v/>
      </c>
      <c r="E237" s="10"/>
      <c r="F237" s="10"/>
      <c r="G237" s="10"/>
      <c r="H237" s="10"/>
      <c r="I237" s="10"/>
      <c r="J237" s="65" t="str">
        <f aca="false">IF(COUNT(G237:I237)=3,G237*H237*I237/1000000,"")</f>
        <v/>
      </c>
      <c r="K237" s="10"/>
      <c r="L237" s="10"/>
      <c r="M237" s="10"/>
    </row>
    <row r="238" customFormat="false" ht="15" hidden="false" customHeight="false" outlineLevel="0" collapsed="false">
      <c r="A238" s="63" t="n">
        <v>233</v>
      </c>
      <c r="B238" s="10"/>
      <c r="C238" s="10"/>
      <c r="D238" s="64" t="str">
        <f aca="false">IF(C238="","",C238&amp;"  |  BOX "&amp;COUNTIF($C$6:C238,C238)&amp;" OF "&amp;COUNTIF($C$6:$C$305,C238)&amp;IF(B238="","","  |  "&amp;B238))</f>
        <v/>
      </c>
      <c r="E238" s="10"/>
      <c r="F238" s="10"/>
      <c r="G238" s="10"/>
      <c r="H238" s="10"/>
      <c r="I238" s="10"/>
      <c r="J238" s="65" t="str">
        <f aca="false">IF(COUNT(G238:I238)=3,G238*H238*I238/1000000,"")</f>
        <v/>
      </c>
      <c r="K238" s="10"/>
      <c r="L238" s="10"/>
      <c r="M238" s="10"/>
    </row>
    <row r="239" customFormat="false" ht="15" hidden="false" customHeight="false" outlineLevel="0" collapsed="false">
      <c r="A239" s="63" t="n">
        <v>234</v>
      </c>
      <c r="B239" s="10"/>
      <c r="C239" s="10"/>
      <c r="D239" s="64" t="str">
        <f aca="false">IF(C239="","",C239&amp;"  |  BOX "&amp;COUNTIF($C$6:C239,C239)&amp;" OF "&amp;COUNTIF($C$6:$C$305,C239)&amp;IF(B239="","","  |  "&amp;B239))</f>
        <v/>
      </c>
      <c r="E239" s="10"/>
      <c r="F239" s="10"/>
      <c r="G239" s="10"/>
      <c r="H239" s="10"/>
      <c r="I239" s="10"/>
      <c r="J239" s="65" t="str">
        <f aca="false">IF(COUNT(G239:I239)=3,G239*H239*I239/1000000,"")</f>
        <v/>
      </c>
      <c r="K239" s="10"/>
      <c r="L239" s="10"/>
      <c r="M239" s="10"/>
    </row>
    <row r="240" customFormat="false" ht="15" hidden="false" customHeight="false" outlineLevel="0" collapsed="false">
      <c r="A240" s="63" t="n">
        <v>235</v>
      </c>
      <c r="B240" s="10"/>
      <c r="C240" s="10"/>
      <c r="D240" s="64" t="str">
        <f aca="false">IF(C240="","",C240&amp;"  |  BOX "&amp;COUNTIF($C$6:C240,C240)&amp;" OF "&amp;COUNTIF($C$6:$C$305,C240)&amp;IF(B240="","","  |  "&amp;B240))</f>
        <v/>
      </c>
      <c r="E240" s="10"/>
      <c r="F240" s="10"/>
      <c r="G240" s="10"/>
      <c r="H240" s="10"/>
      <c r="I240" s="10"/>
      <c r="J240" s="65" t="str">
        <f aca="false">IF(COUNT(G240:I240)=3,G240*H240*I240/1000000,"")</f>
        <v/>
      </c>
      <c r="K240" s="10"/>
      <c r="L240" s="10"/>
      <c r="M240" s="10"/>
    </row>
    <row r="241" customFormat="false" ht="15" hidden="false" customHeight="false" outlineLevel="0" collapsed="false">
      <c r="A241" s="63" t="n">
        <v>236</v>
      </c>
      <c r="B241" s="10"/>
      <c r="C241" s="10"/>
      <c r="D241" s="64" t="str">
        <f aca="false">IF(C241="","",C241&amp;"  |  BOX "&amp;COUNTIF($C$6:C241,C241)&amp;" OF "&amp;COUNTIF($C$6:$C$305,C241)&amp;IF(B241="","","  |  "&amp;B241))</f>
        <v/>
      </c>
      <c r="E241" s="10"/>
      <c r="F241" s="10"/>
      <c r="G241" s="10"/>
      <c r="H241" s="10"/>
      <c r="I241" s="10"/>
      <c r="J241" s="65" t="str">
        <f aca="false">IF(COUNT(G241:I241)=3,G241*H241*I241/1000000,"")</f>
        <v/>
      </c>
      <c r="K241" s="10"/>
      <c r="L241" s="10"/>
      <c r="M241" s="10"/>
    </row>
    <row r="242" customFormat="false" ht="15" hidden="false" customHeight="false" outlineLevel="0" collapsed="false">
      <c r="A242" s="63" t="n">
        <v>237</v>
      </c>
      <c r="B242" s="10"/>
      <c r="C242" s="10"/>
      <c r="D242" s="64" t="str">
        <f aca="false">IF(C242="","",C242&amp;"  |  BOX "&amp;COUNTIF($C$6:C242,C242)&amp;" OF "&amp;COUNTIF($C$6:$C$305,C242)&amp;IF(B242="","","  |  "&amp;B242))</f>
        <v/>
      </c>
      <c r="E242" s="10"/>
      <c r="F242" s="10"/>
      <c r="G242" s="10"/>
      <c r="H242" s="10"/>
      <c r="I242" s="10"/>
      <c r="J242" s="65" t="str">
        <f aca="false">IF(COUNT(G242:I242)=3,G242*H242*I242/1000000,"")</f>
        <v/>
      </c>
      <c r="K242" s="10"/>
      <c r="L242" s="10"/>
      <c r="M242" s="10"/>
    </row>
    <row r="243" customFormat="false" ht="15" hidden="false" customHeight="false" outlineLevel="0" collapsed="false">
      <c r="A243" s="63" t="n">
        <v>238</v>
      </c>
      <c r="B243" s="10"/>
      <c r="C243" s="10"/>
      <c r="D243" s="64" t="str">
        <f aca="false">IF(C243="","",C243&amp;"  |  BOX "&amp;COUNTIF($C$6:C243,C243)&amp;" OF "&amp;COUNTIF($C$6:$C$305,C243)&amp;IF(B243="","","  |  "&amp;B243))</f>
        <v/>
      </c>
      <c r="E243" s="10"/>
      <c r="F243" s="10"/>
      <c r="G243" s="10"/>
      <c r="H243" s="10"/>
      <c r="I243" s="10"/>
      <c r="J243" s="65" t="str">
        <f aca="false">IF(COUNT(G243:I243)=3,G243*H243*I243/1000000,"")</f>
        <v/>
      </c>
      <c r="K243" s="10"/>
      <c r="L243" s="10"/>
      <c r="M243" s="10"/>
    </row>
    <row r="244" customFormat="false" ht="15" hidden="false" customHeight="false" outlineLevel="0" collapsed="false">
      <c r="A244" s="63" t="n">
        <v>239</v>
      </c>
      <c r="B244" s="10"/>
      <c r="C244" s="10"/>
      <c r="D244" s="64" t="str">
        <f aca="false">IF(C244="","",C244&amp;"  |  BOX "&amp;COUNTIF($C$6:C244,C244)&amp;" OF "&amp;COUNTIF($C$6:$C$305,C244)&amp;IF(B244="","","  |  "&amp;B244))</f>
        <v/>
      </c>
      <c r="E244" s="10"/>
      <c r="F244" s="10"/>
      <c r="G244" s="10"/>
      <c r="H244" s="10"/>
      <c r="I244" s="10"/>
      <c r="J244" s="65" t="str">
        <f aca="false">IF(COUNT(G244:I244)=3,G244*H244*I244/1000000,"")</f>
        <v/>
      </c>
      <c r="K244" s="10"/>
      <c r="L244" s="10"/>
      <c r="M244" s="10"/>
    </row>
    <row r="245" customFormat="false" ht="15" hidden="false" customHeight="false" outlineLevel="0" collapsed="false">
      <c r="A245" s="63" t="n">
        <v>240</v>
      </c>
      <c r="B245" s="10"/>
      <c r="C245" s="10"/>
      <c r="D245" s="64" t="str">
        <f aca="false">IF(C245="","",C245&amp;"  |  BOX "&amp;COUNTIF($C$6:C245,C245)&amp;" OF "&amp;COUNTIF($C$6:$C$305,C245)&amp;IF(B245="","","  |  "&amp;B245))</f>
        <v/>
      </c>
      <c r="E245" s="10"/>
      <c r="F245" s="10"/>
      <c r="G245" s="10"/>
      <c r="H245" s="10"/>
      <c r="I245" s="10"/>
      <c r="J245" s="65" t="str">
        <f aca="false">IF(COUNT(G245:I245)=3,G245*H245*I245/1000000,"")</f>
        <v/>
      </c>
      <c r="K245" s="10"/>
      <c r="L245" s="10"/>
      <c r="M245" s="10"/>
    </row>
    <row r="246" customFormat="false" ht="15" hidden="false" customHeight="false" outlineLevel="0" collapsed="false">
      <c r="A246" s="63" t="n">
        <v>241</v>
      </c>
      <c r="B246" s="10"/>
      <c r="C246" s="10"/>
      <c r="D246" s="64" t="str">
        <f aca="false">IF(C246="","",C246&amp;"  |  BOX "&amp;COUNTIF($C$6:C246,C246)&amp;" OF "&amp;COUNTIF($C$6:$C$305,C246)&amp;IF(B246="","","  |  "&amp;B246))</f>
        <v/>
      </c>
      <c r="E246" s="10"/>
      <c r="F246" s="10"/>
      <c r="G246" s="10"/>
      <c r="H246" s="10"/>
      <c r="I246" s="10"/>
      <c r="J246" s="65" t="str">
        <f aca="false">IF(COUNT(G246:I246)=3,G246*H246*I246/1000000,"")</f>
        <v/>
      </c>
      <c r="K246" s="10"/>
      <c r="L246" s="10"/>
      <c r="M246" s="10"/>
    </row>
    <row r="247" customFormat="false" ht="15" hidden="false" customHeight="false" outlineLevel="0" collapsed="false">
      <c r="A247" s="63" t="n">
        <v>242</v>
      </c>
      <c r="B247" s="10"/>
      <c r="C247" s="10"/>
      <c r="D247" s="64" t="str">
        <f aca="false">IF(C247="","",C247&amp;"  |  BOX "&amp;COUNTIF($C$6:C247,C247)&amp;" OF "&amp;COUNTIF($C$6:$C$305,C247)&amp;IF(B247="","","  |  "&amp;B247))</f>
        <v/>
      </c>
      <c r="E247" s="10"/>
      <c r="F247" s="10"/>
      <c r="G247" s="10"/>
      <c r="H247" s="10"/>
      <c r="I247" s="10"/>
      <c r="J247" s="65" t="str">
        <f aca="false">IF(COUNT(G247:I247)=3,G247*H247*I247/1000000,"")</f>
        <v/>
      </c>
      <c r="K247" s="10"/>
      <c r="L247" s="10"/>
      <c r="M247" s="10"/>
    </row>
    <row r="248" customFormat="false" ht="15" hidden="false" customHeight="false" outlineLevel="0" collapsed="false">
      <c r="A248" s="63" t="n">
        <v>243</v>
      </c>
      <c r="B248" s="10"/>
      <c r="C248" s="10"/>
      <c r="D248" s="64" t="str">
        <f aca="false">IF(C248="","",C248&amp;"  |  BOX "&amp;COUNTIF($C$6:C248,C248)&amp;" OF "&amp;COUNTIF($C$6:$C$305,C248)&amp;IF(B248="","","  |  "&amp;B248))</f>
        <v/>
      </c>
      <c r="E248" s="10"/>
      <c r="F248" s="10"/>
      <c r="G248" s="10"/>
      <c r="H248" s="10"/>
      <c r="I248" s="10"/>
      <c r="J248" s="65" t="str">
        <f aca="false">IF(COUNT(G248:I248)=3,G248*H248*I248/1000000,"")</f>
        <v/>
      </c>
      <c r="K248" s="10"/>
      <c r="L248" s="10"/>
      <c r="M248" s="10"/>
    </row>
    <row r="249" customFormat="false" ht="15" hidden="false" customHeight="false" outlineLevel="0" collapsed="false">
      <c r="A249" s="63" t="n">
        <v>244</v>
      </c>
      <c r="B249" s="10"/>
      <c r="C249" s="10"/>
      <c r="D249" s="64" t="str">
        <f aca="false">IF(C249="","",C249&amp;"  |  BOX "&amp;COUNTIF($C$6:C249,C249)&amp;" OF "&amp;COUNTIF($C$6:$C$305,C249)&amp;IF(B249="","","  |  "&amp;B249))</f>
        <v/>
      </c>
      <c r="E249" s="10"/>
      <c r="F249" s="10"/>
      <c r="G249" s="10"/>
      <c r="H249" s="10"/>
      <c r="I249" s="10"/>
      <c r="J249" s="65" t="str">
        <f aca="false">IF(COUNT(G249:I249)=3,G249*H249*I249/1000000,"")</f>
        <v/>
      </c>
      <c r="K249" s="10"/>
      <c r="L249" s="10"/>
      <c r="M249" s="10"/>
    </row>
    <row r="250" customFormat="false" ht="15" hidden="false" customHeight="false" outlineLevel="0" collapsed="false">
      <c r="A250" s="63" t="n">
        <v>245</v>
      </c>
      <c r="B250" s="10"/>
      <c r="C250" s="10"/>
      <c r="D250" s="64" t="str">
        <f aca="false">IF(C250="","",C250&amp;"  |  BOX "&amp;COUNTIF($C$6:C250,C250)&amp;" OF "&amp;COUNTIF($C$6:$C$305,C250)&amp;IF(B250="","","  |  "&amp;B250))</f>
        <v/>
      </c>
      <c r="E250" s="10"/>
      <c r="F250" s="10"/>
      <c r="G250" s="10"/>
      <c r="H250" s="10"/>
      <c r="I250" s="10"/>
      <c r="J250" s="65" t="str">
        <f aca="false">IF(COUNT(G250:I250)=3,G250*H250*I250/1000000,"")</f>
        <v/>
      </c>
      <c r="K250" s="10"/>
      <c r="L250" s="10"/>
      <c r="M250" s="10"/>
    </row>
    <row r="251" customFormat="false" ht="15" hidden="false" customHeight="false" outlineLevel="0" collapsed="false">
      <c r="A251" s="63" t="n">
        <v>246</v>
      </c>
      <c r="B251" s="10"/>
      <c r="C251" s="10"/>
      <c r="D251" s="64" t="str">
        <f aca="false">IF(C251="","",C251&amp;"  |  BOX "&amp;COUNTIF($C$6:C251,C251)&amp;" OF "&amp;COUNTIF($C$6:$C$305,C251)&amp;IF(B251="","","  |  "&amp;B251))</f>
        <v/>
      </c>
      <c r="E251" s="10"/>
      <c r="F251" s="10"/>
      <c r="G251" s="10"/>
      <c r="H251" s="10"/>
      <c r="I251" s="10"/>
      <c r="J251" s="65" t="str">
        <f aca="false">IF(COUNT(G251:I251)=3,G251*H251*I251/1000000,"")</f>
        <v/>
      </c>
      <c r="K251" s="10"/>
      <c r="L251" s="10"/>
      <c r="M251" s="10"/>
    </row>
    <row r="252" customFormat="false" ht="15" hidden="false" customHeight="false" outlineLevel="0" collapsed="false">
      <c r="A252" s="63" t="n">
        <v>247</v>
      </c>
      <c r="B252" s="10"/>
      <c r="C252" s="10"/>
      <c r="D252" s="64" t="str">
        <f aca="false">IF(C252="","",C252&amp;"  |  BOX "&amp;COUNTIF($C$6:C252,C252)&amp;" OF "&amp;COUNTIF($C$6:$C$305,C252)&amp;IF(B252="","","  |  "&amp;B252))</f>
        <v/>
      </c>
      <c r="E252" s="10"/>
      <c r="F252" s="10"/>
      <c r="G252" s="10"/>
      <c r="H252" s="10"/>
      <c r="I252" s="10"/>
      <c r="J252" s="65" t="str">
        <f aca="false">IF(COUNT(G252:I252)=3,G252*H252*I252/1000000,"")</f>
        <v/>
      </c>
      <c r="K252" s="10"/>
      <c r="L252" s="10"/>
      <c r="M252" s="10"/>
    </row>
    <row r="253" customFormat="false" ht="15" hidden="false" customHeight="false" outlineLevel="0" collapsed="false">
      <c r="A253" s="63" t="n">
        <v>248</v>
      </c>
      <c r="B253" s="10"/>
      <c r="C253" s="10"/>
      <c r="D253" s="64" t="str">
        <f aca="false">IF(C253="","",C253&amp;"  |  BOX "&amp;COUNTIF($C$6:C253,C253)&amp;" OF "&amp;COUNTIF($C$6:$C$305,C253)&amp;IF(B253="","","  |  "&amp;B253))</f>
        <v/>
      </c>
      <c r="E253" s="10"/>
      <c r="F253" s="10"/>
      <c r="G253" s="10"/>
      <c r="H253" s="10"/>
      <c r="I253" s="10"/>
      <c r="J253" s="65" t="str">
        <f aca="false">IF(COUNT(G253:I253)=3,G253*H253*I253/1000000,"")</f>
        <v/>
      </c>
      <c r="K253" s="10"/>
      <c r="L253" s="10"/>
      <c r="M253" s="10"/>
    </row>
    <row r="254" customFormat="false" ht="15" hidden="false" customHeight="false" outlineLevel="0" collapsed="false">
      <c r="A254" s="63" t="n">
        <v>249</v>
      </c>
      <c r="B254" s="10"/>
      <c r="C254" s="10"/>
      <c r="D254" s="64" t="str">
        <f aca="false">IF(C254="","",C254&amp;"  |  BOX "&amp;COUNTIF($C$6:C254,C254)&amp;" OF "&amp;COUNTIF($C$6:$C$305,C254)&amp;IF(B254="","","  |  "&amp;B254))</f>
        <v/>
      </c>
      <c r="E254" s="10"/>
      <c r="F254" s="10"/>
      <c r="G254" s="10"/>
      <c r="H254" s="10"/>
      <c r="I254" s="10"/>
      <c r="J254" s="65" t="str">
        <f aca="false">IF(COUNT(G254:I254)=3,G254*H254*I254/1000000,"")</f>
        <v/>
      </c>
      <c r="K254" s="10"/>
      <c r="L254" s="10"/>
      <c r="M254" s="10"/>
    </row>
    <row r="255" customFormat="false" ht="15" hidden="false" customHeight="false" outlineLevel="0" collapsed="false">
      <c r="A255" s="63" t="n">
        <v>250</v>
      </c>
      <c r="B255" s="10"/>
      <c r="C255" s="10"/>
      <c r="D255" s="64" t="str">
        <f aca="false">IF(C255="","",C255&amp;"  |  BOX "&amp;COUNTIF($C$6:C255,C255)&amp;" OF "&amp;COUNTIF($C$6:$C$305,C255)&amp;IF(B255="","","  |  "&amp;B255))</f>
        <v/>
      </c>
      <c r="E255" s="10"/>
      <c r="F255" s="10"/>
      <c r="G255" s="10"/>
      <c r="H255" s="10"/>
      <c r="I255" s="10"/>
      <c r="J255" s="65" t="str">
        <f aca="false">IF(COUNT(G255:I255)=3,G255*H255*I255/1000000,"")</f>
        <v/>
      </c>
      <c r="K255" s="10"/>
      <c r="L255" s="10"/>
      <c r="M255" s="10"/>
    </row>
    <row r="256" customFormat="false" ht="15" hidden="false" customHeight="false" outlineLevel="0" collapsed="false">
      <c r="A256" s="63" t="n">
        <v>251</v>
      </c>
      <c r="B256" s="10"/>
      <c r="C256" s="10"/>
      <c r="D256" s="64" t="str">
        <f aca="false">IF(C256="","",C256&amp;"  |  BOX "&amp;COUNTIF($C$6:C256,C256)&amp;" OF "&amp;COUNTIF($C$6:$C$305,C256)&amp;IF(B256="","","  |  "&amp;B256))</f>
        <v/>
      </c>
      <c r="E256" s="10"/>
      <c r="F256" s="10"/>
      <c r="G256" s="10"/>
      <c r="H256" s="10"/>
      <c r="I256" s="10"/>
      <c r="J256" s="65" t="str">
        <f aca="false">IF(COUNT(G256:I256)=3,G256*H256*I256/1000000,"")</f>
        <v/>
      </c>
      <c r="K256" s="10"/>
      <c r="L256" s="10"/>
      <c r="M256" s="10"/>
    </row>
    <row r="257" customFormat="false" ht="15" hidden="false" customHeight="false" outlineLevel="0" collapsed="false">
      <c r="A257" s="63" t="n">
        <v>252</v>
      </c>
      <c r="B257" s="10"/>
      <c r="C257" s="10"/>
      <c r="D257" s="64" t="str">
        <f aca="false">IF(C257="","",C257&amp;"  |  BOX "&amp;COUNTIF($C$6:C257,C257)&amp;" OF "&amp;COUNTIF($C$6:$C$305,C257)&amp;IF(B257="","","  |  "&amp;B257))</f>
        <v/>
      </c>
      <c r="E257" s="10"/>
      <c r="F257" s="10"/>
      <c r="G257" s="10"/>
      <c r="H257" s="10"/>
      <c r="I257" s="10"/>
      <c r="J257" s="65" t="str">
        <f aca="false">IF(COUNT(G257:I257)=3,G257*H257*I257/1000000,"")</f>
        <v/>
      </c>
      <c r="K257" s="10"/>
      <c r="L257" s="10"/>
      <c r="M257" s="10"/>
    </row>
    <row r="258" customFormat="false" ht="15" hidden="false" customHeight="false" outlineLevel="0" collapsed="false">
      <c r="A258" s="63" t="n">
        <v>253</v>
      </c>
      <c r="B258" s="10"/>
      <c r="C258" s="10"/>
      <c r="D258" s="64" t="str">
        <f aca="false">IF(C258="","",C258&amp;"  |  BOX "&amp;COUNTIF($C$6:C258,C258)&amp;" OF "&amp;COUNTIF($C$6:$C$305,C258)&amp;IF(B258="","","  |  "&amp;B258))</f>
        <v/>
      </c>
      <c r="E258" s="10"/>
      <c r="F258" s="10"/>
      <c r="G258" s="10"/>
      <c r="H258" s="10"/>
      <c r="I258" s="10"/>
      <c r="J258" s="65" t="str">
        <f aca="false">IF(COUNT(G258:I258)=3,G258*H258*I258/1000000,"")</f>
        <v/>
      </c>
      <c r="K258" s="10"/>
      <c r="L258" s="10"/>
      <c r="M258" s="10"/>
    </row>
    <row r="259" customFormat="false" ht="15" hidden="false" customHeight="false" outlineLevel="0" collapsed="false">
      <c r="A259" s="63" t="n">
        <v>254</v>
      </c>
      <c r="B259" s="10"/>
      <c r="C259" s="10"/>
      <c r="D259" s="64" t="str">
        <f aca="false">IF(C259="","",C259&amp;"  |  BOX "&amp;COUNTIF($C$6:C259,C259)&amp;" OF "&amp;COUNTIF($C$6:$C$305,C259)&amp;IF(B259="","","  |  "&amp;B259))</f>
        <v/>
      </c>
      <c r="E259" s="10"/>
      <c r="F259" s="10"/>
      <c r="G259" s="10"/>
      <c r="H259" s="10"/>
      <c r="I259" s="10"/>
      <c r="J259" s="65" t="str">
        <f aca="false">IF(COUNT(G259:I259)=3,G259*H259*I259/1000000,"")</f>
        <v/>
      </c>
      <c r="K259" s="10"/>
      <c r="L259" s="10"/>
      <c r="M259" s="10"/>
    </row>
    <row r="260" customFormat="false" ht="15" hidden="false" customHeight="false" outlineLevel="0" collapsed="false">
      <c r="A260" s="63" t="n">
        <v>255</v>
      </c>
      <c r="B260" s="10"/>
      <c r="C260" s="10"/>
      <c r="D260" s="64" t="str">
        <f aca="false">IF(C260="","",C260&amp;"  |  BOX "&amp;COUNTIF($C$6:C260,C260)&amp;" OF "&amp;COUNTIF($C$6:$C$305,C260)&amp;IF(B260="","","  |  "&amp;B260))</f>
        <v/>
      </c>
      <c r="E260" s="10"/>
      <c r="F260" s="10"/>
      <c r="G260" s="10"/>
      <c r="H260" s="10"/>
      <c r="I260" s="10"/>
      <c r="J260" s="65" t="str">
        <f aca="false">IF(COUNT(G260:I260)=3,G260*H260*I260/1000000,"")</f>
        <v/>
      </c>
      <c r="K260" s="10"/>
      <c r="L260" s="10"/>
      <c r="M260" s="10"/>
    </row>
    <row r="261" customFormat="false" ht="15" hidden="false" customHeight="false" outlineLevel="0" collapsed="false">
      <c r="A261" s="63" t="n">
        <v>256</v>
      </c>
      <c r="B261" s="10"/>
      <c r="C261" s="10"/>
      <c r="D261" s="64" t="str">
        <f aca="false">IF(C261="","",C261&amp;"  |  BOX "&amp;COUNTIF($C$6:C261,C261)&amp;" OF "&amp;COUNTIF($C$6:$C$305,C261)&amp;IF(B261="","","  |  "&amp;B261))</f>
        <v/>
      </c>
      <c r="E261" s="10"/>
      <c r="F261" s="10"/>
      <c r="G261" s="10"/>
      <c r="H261" s="10"/>
      <c r="I261" s="10"/>
      <c r="J261" s="65" t="str">
        <f aca="false">IF(COUNT(G261:I261)=3,G261*H261*I261/1000000,"")</f>
        <v/>
      </c>
      <c r="K261" s="10"/>
      <c r="L261" s="10"/>
      <c r="M261" s="10"/>
    </row>
    <row r="262" customFormat="false" ht="15" hidden="false" customHeight="false" outlineLevel="0" collapsed="false">
      <c r="A262" s="63" t="n">
        <v>257</v>
      </c>
      <c r="B262" s="10"/>
      <c r="C262" s="10"/>
      <c r="D262" s="64" t="str">
        <f aca="false">IF(C262="","",C262&amp;"  |  BOX "&amp;COUNTIF($C$6:C262,C262)&amp;" OF "&amp;COUNTIF($C$6:$C$305,C262)&amp;IF(B262="","","  |  "&amp;B262))</f>
        <v/>
      </c>
      <c r="E262" s="10"/>
      <c r="F262" s="10"/>
      <c r="G262" s="10"/>
      <c r="H262" s="10"/>
      <c r="I262" s="10"/>
      <c r="J262" s="65" t="str">
        <f aca="false">IF(COUNT(G262:I262)=3,G262*H262*I262/1000000,"")</f>
        <v/>
      </c>
      <c r="K262" s="10"/>
      <c r="L262" s="10"/>
      <c r="M262" s="10"/>
    </row>
    <row r="263" customFormat="false" ht="15" hidden="false" customHeight="false" outlineLevel="0" collapsed="false">
      <c r="A263" s="63" t="n">
        <v>258</v>
      </c>
      <c r="B263" s="10"/>
      <c r="C263" s="10"/>
      <c r="D263" s="64" t="str">
        <f aca="false">IF(C263="","",C263&amp;"  |  BOX "&amp;COUNTIF($C$6:C263,C263)&amp;" OF "&amp;COUNTIF($C$6:$C$305,C263)&amp;IF(B263="","","  |  "&amp;B263))</f>
        <v/>
      </c>
      <c r="E263" s="10"/>
      <c r="F263" s="10"/>
      <c r="G263" s="10"/>
      <c r="H263" s="10"/>
      <c r="I263" s="10"/>
      <c r="J263" s="65" t="str">
        <f aca="false">IF(COUNT(G263:I263)=3,G263*H263*I263/1000000,"")</f>
        <v/>
      </c>
      <c r="K263" s="10"/>
      <c r="L263" s="10"/>
      <c r="M263" s="10"/>
    </row>
    <row r="264" customFormat="false" ht="15" hidden="false" customHeight="false" outlineLevel="0" collapsed="false">
      <c r="A264" s="63" t="n">
        <v>259</v>
      </c>
      <c r="B264" s="10"/>
      <c r="C264" s="10"/>
      <c r="D264" s="64" t="str">
        <f aca="false">IF(C264="","",C264&amp;"  |  BOX "&amp;COUNTIF($C$6:C264,C264)&amp;" OF "&amp;COUNTIF($C$6:$C$305,C264)&amp;IF(B264="","","  |  "&amp;B264))</f>
        <v/>
      </c>
      <c r="E264" s="10"/>
      <c r="F264" s="10"/>
      <c r="G264" s="10"/>
      <c r="H264" s="10"/>
      <c r="I264" s="10"/>
      <c r="J264" s="65" t="str">
        <f aca="false">IF(COUNT(G264:I264)=3,G264*H264*I264/1000000,"")</f>
        <v/>
      </c>
      <c r="K264" s="10"/>
      <c r="L264" s="10"/>
      <c r="M264" s="10"/>
    </row>
    <row r="265" customFormat="false" ht="15" hidden="false" customHeight="false" outlineLevel="0" collapsed="false">
      <c r="A265" s="63" t="n">
        <v>260</v>
      </c>
      <c r="B265" s="10"/>
      <c r="C265" s="10"/>
      <c r="D265" s="64" t="str">
        <f aca="false">IF(C265="","",C265&amp;"  |  BOX "&amp;COUNTIF($C$6:C265,C265)&amp;" OF "&amp;COUNTIF($C$6:$C$305,C265)&amp;IF(B265="","","  |  "&amp;B265))</f>
        <v/>
      </c>
      <c r="E265" s="10"/>
      <c r="F265" s="10"/>
      <c r="G265" s="10"/>
      <c r="H265" s="10"/>
      <c r="I265" s="10"/>
      <c r="J265" s="65" t="str">
        <f aca="false">IF(COUNT(G265:I265)=3,G265*H265*I265/1000000,"")</f>
        <v/>
      </c>
      <c r="K265" s="10"/>
      <c r="L265" s="10"/>
      <c r="M265" s="10"/>
    </row>
    <row r="266" customFormat="false" ht="15" hidden="false" customHeight="false" outlineLevel="0" collapsed="false">
      <c r="A266" s="63" t="n">
        <v>261</v>
      </c>
      <c r="B266" s="10"/>
      <c r="C266" s="10"/>
      <c r="D266" s="64" t="str">
        <f aca="false">IF(C266="","",C266&amp;"  |  BOX "&amp;COUNTIF($C$6:C266,C266)&amp;" OF "&amp;COUNTIF($C$6:$C$305,C266)&amp;IF(B266="","","  |  "&amp;B266))</f>
        <v/>
      </c>
      <c r="E266" s="10"/>
      <c r="F266" s="10"/>
      <c r="G266" s="10"/>
      <c r="H266" s="10"/>
      <c r="I266" s="10"/>
      <c r="J266" s="65" t="str">
        <f aca="false">IF(COUNT(G266:I266)=3,G266*H266*I266/1000000,"")</f>
        <v/>
      </c>
      <c r="K266" s="10"/>
      <c r="L266" s="10"/>
      <c r="M266" s="10"/>
    </row>
    <row r="267" customFormat="false" ht="15" hidden="false" customHeight="false" outlineLevel="0" collapsed="false">
      <c r="A267" s="63" t="n">
        <v>262</v>
      </c>
      <c r="B267" s="10"/>
      <c r="C267" s="10"/>
      <c r="D267" s="64" t="str">
        <f aca="false">IF(C267="","",C267&amp;"  |  BOX "&amp;COUNTIF($C$6:C267,C267)&amp;" OF "&amp;COUNTIF($C$6:$C$305,C267)&amp;IF(B267="","","  |  "&amp;B267))</f>
        <v/>
      </c>
      <c r="E267" s="10"/>
      <c r="F267" s="10"/>
      <c r="G267" s="10"/>
      <c r="H267" s="10"/>
      <c r="I267" s="10"/>
      <c r="J267" s="65" t="str">
        <f aca="false">IF(COUNT(G267:I267)=3,G267*H267*I267/1000000,"")</f>
        <v/>
      </c>
      <c r="K267" s="10"/>
      <c r="L267" s="10"/>
      <c r="M267" s="10"/>
    </row>
    <row r="268" customFormat="false" ht="15" hidden="false" customHeight="false" outlineLevel="0" collapsed="false">
      <c r="A268" s="63" t="n">
        <v>263</v>
      </c>
      <c r="B268" s="10"/>
      <c r="C268" s="10"/>
      <c r="D268" s="64" t="str">
        <f aca="false">IF(C268="","",C268&amp;"  |  BOX "&amp;COUNTIF($C$6:C268,C268)&amp;" OF "&amp;COUNTIF($C$6:$C$305,C268)&amp;IF(B268="","","  |  "&amp;B268))</f>
        <v/>
      </c>
      <c r="E268" s="10"/>
      <c r="F268" s="10"/>
      <c r="G268" s="10"/>
      <c r="H268" s="10"/>
      <c r="I268" s="10"/>
      <c r="J268" s="65" t="str">
        <f aca="false">IF(COUNT(G268:I268)=3,G268*H268*I268/1000000,"")</f>
        <v/>
      </c>
      <c r="K268" s="10"/>
      <c r="L268" s="10"/>
      <c r="M268" s="10"/>
    </row>
    <row r="269" customFormat="false" ht="15" hidden="false" customHeight="false" outlineLevel="0" collapsed="false">
      <c r="A269" s="63" t="n">
        <v>264</v>
      </c>
      <c r="B269" s="10"/>
      <c r="C269" s="10"/>
      <c r="D269" s="64" t="str">
        <f aca="false">IF(C269="","",C269&amp;"  |  BOX "&amp;COUNTIF($C$6:C269,C269)&amp;" OF "&amp;COUNTIF($C$6:$C$305,C269)&amp;IF(B269="","","  |  "&amp;B269))</f>
        <v/>
      </c>
      <c r="E269" s="10"/>
      <c r="F269" s="10"/>
      <c r="G269" s="10"/>
      <c r="H269" s="10"/>
      <c r="I269" s="10"/>
      <c r="J269" s="65" t="str">
        <f aca="false">IF(COUNT(G269:I269)=3,G269*H269*I269/1000000,"")</f>
        <v/>
      </c>
      <c r="K269" s="10"/>
      <c r="L269" s="10"/>
      <c r="M269" s="10"/>
    </row>
    <row r="270" customFormat="false" ht="15" hidden="false" customHeight="false" outlineLevel="0" collapsed="false">
      <c r="A270" s="63" t="n">
        <v>265</v>
      </c>
      <c r="B270" s="10"/>
      <c r="C270" s="10"/>
      <c r="D270" s="64" t="str">
        <f aca="false">IF(C270="","",C270&amp;"  |  BOX "&amp;COUNTIF($C$6:C270,C270)&amp;" OF "&amp;COUNTIF($C$6:$C$305,C270)&amp;IF(B270="","","  |  "&amp;B270))</f>
        <v/>
      </c>
      <c r="E270" s="10"/>
      <c r="F270" s="10"/>
      <c r="G270" s="10"/>
      <c r="H270" s="10"/>
      <c r="I270" s="10"/>
      <c r="J270" s="65" t="str">
        <f aca="false">IF(COUNT(G270:I270)=3,G270*H270*I270/1000000,"")</f>
        <v/>
      </c>
      <c r="K270" s="10"/>
      <c r="L270" s="10"/>
      <c r="M270" s="10"/>
    </row>
    <row r="271" customFormat="false" ht="15" hidden="false" customHeight="false" outlineLevel="0" collapsed="false">
      <c r="A271" s="63" t="n">
        <v>266</v>
      </c>
      <c r="B271" s="10"/>
      <c r="C271" s="10"/>
      <c r="D271" s="64" t="str">
        <f aca="false">IF(C271="","",C271&amp;"  |  BOX "&amp;COUNTIF($C$6:C271,C271)&amp;" OF "&amp;COUNTIF($C$6:$C$305,C271)&amp;IF(B271="","","  |  "&amp;B271))</f>
        <v/>
      </c>
      <c r="E271" s="10"/>
      <c r="F271" s="10"/>
      <c r="G271" s="10"/>
      <c r="H271" s="10"/>
      <c r="I271" s="10"/>
      <c r="J271" s="65" t="str">
        <f aca="false">IF(COUNT(G271:I271)=3,G271*H271*I271/1000000,"")</f>
        <v/>
      </c>
      <c r="K271" s="10"/>
      <c r="L271" s="10"/>
      <c r="M271" s="10"/>
    </row>
    <row r="272" customFormat="false" ht="15" hidden="false" customHeight="false" outlineLevel="0" collapsed="false">
      <c r="A272" s="63" t="n">
        <v>267</v>
      </c>
      <c r="B272" s="10"/>
      <c r="C272" s="10"/>
      <c r="D272" s="64" t="str">
        <f aca="false">IF(C272="","",C272&amp;"  |  BOX "&amp;COUNTIF($C$6:C272,C272)&amp;" OF "&amp;COUNTIF($C$6:$C$305,C272)&amp;IF(B272="","","  |  "&amp;B272))</f>
        <v/>
      </c>
      <c r="E272" s="10"/>
      <c r="F272" s="10"/>
      <c r="G272" s="10"/>
      <c r="H272" s="10"/>
      <c r="I272" s="10"/>
      <c r="J272" s="65" t="str">
        <f aca="false">IF(COUNT(G272:I272)=3,G272*H272*I272/1000000,"")</f>
        <v/>
      </c>
      <c r="K272" s="10"/>
      <c r="L272" s="10"/>
      <c r="M272" s="10"/>
    </row>
    <row r="273" customFormat="false" ht="15" hidden="false" customHeight="false" outlineLevel="0" collapsed="false">
      <c r="A273" s="63" t="n">
        <v>268</v>
      </c>
      <c r="B273" s="10"/>
      <c r="C273" s="10"/>
      <c r="D273" s="64" t="str">
        <f aca="false">IF(C273="","",C273&amp;"  |  BOX "&amp;COUNTIF($C$6:C273,C273)&amp;" OF "&amp;COUNTIF($C$6:$C$305,C273)&amp;IF(B273="","","  |  "&amp;B273))</f>
        <v/>
      </c>
      <c r="E273" s="10"/>
      <c r="F273" s="10"/>
      <c r="G273" s="10"/>
      <c r="H273" s="10"/>
      <c r="I273" s="10"/>
      <c r="J273" s="65" t="str">
        <f aca="false">IF(COUNT(G273:I273)=3,G273*H273*I273/1000000,"")</f>
        <v/>
      </c>
      <c r="K273" s="10"/>
      <c r="L273" s="10"/>
      <c r="M273" s="10"/>
    </row>
    <row r="274" customFormat="false" ht="15" hidden="false" customHeight="false" outlineLevel="0" collapsed="false">
      <c r="A274" s="63" t="n">
        <v>269</v>
      </c>
      <c r="B274" s="10"/>
      <c r="C274" s="10"/>
      <c r="D274" s="64" t="str">
        <f aca="false">IF(C274="","",C274&amp;"  |  BOX "&amp;COUNTIF($C$6:C274,C274)&amp;" OF "&amp;COUNTIF($C$6:$C$305,C274)&amp;IF(B274="","","  |  "&amp;B274))</f>
        <v/>
      </c>
      <c r="E274" s="10"/>
      <c r="F274" s="10"/>
      <c r="G274" s="10"/>
      <c r="H274" s="10"/>
      <c r="I274" s="10"/>
      <c r="J274" s="65" t="str">
        <f aca="false">IF(COUNT(G274:I274)=3,G274*H274*I274/1000000,"")</f>
        <v/>
      </c>
      <c r="K274" s="10"/>
      <c r="L274" s="10"/>
      <c r="M274" s="10"/>
    </row>
    <row r="275" customFormat="false" ht="15" hidden="false" customHeight="false" outlineLevel="0" collapsed="false">
      <c r="A275" s="63" t="n">
        <v>270</v>
      </c>
      <c r="B275" s="10"/>
      <c r="C275" s="10"/>
      <c r="D275" s="64" t="str">
        <f aca="false">IF(C275="","",C275&amp;"  |  BOX "&amp;COUNTIF($C$6:C275,C275)&amp;" OF "&amp;COUNTIF($C$6:$C$305,C275)&amp;IF(B275="","","  |  "&amp;B275))</f>
        <v/>
      </c>
      <c r="E275" s="10"/>
      <c r="F275" s="10"/>
      <c r="G275" s="10"/>
      <c r="H275" s="10"/>
      <c r="I275" s="10"/>
      <c r="J275" s="65" t="str">
        <f aca="false">IF(COUNT(G275:I275)=3,G275*H275*I275/1000000,"")</f>
        <v/>
      </c>
      <c r="K275" s="10"/>
      <c r="L275" s="10"/>
      <c r="M275" s="10"/>
    </row>
    <row r="276" customFormat="false" ht="15" hidden="false" customHeight="false" outlineLevel="0" collapsed="false">
      <c r="A276" s="63" t="n">
        <v>271</v>
      </c>
      <c r="B276" s="10"/>
      <c r="C276" s="10"/>
      <c r="D276" s="64" t="str">
        <f aca="false">IF(C276="","",C276&amp;"  |  BOX "&amp;COUNTIF($C$6:C276,C276)&amp;" OF "&amp;COUNTIF($C$6:$C$305,C276)&amp;IF(B276="","","  |  "&amp;B276))</f>
        <v/>
      </c>
      <c r="E276" s="10"/>
      <c r="F276" s="10"/>
      <c r="G276" s="10"/>
      <c r="H276" s="10"/>
      <c r="I276" s="10"/>
      <c r="J276" s="65" t="str">
        <f aca="false">IF(COUNT(G276:I276)=3,G276*H276*I276/1000000,"")</f>
        <v/>
      </c>
      <c r="K276" s="10"/>
      <c r="L276" s="10"/>
      <c r="M276" s="10"/>
    </row>
    <row r="277" customFormat="false" ht="15" hidden="false" customHeight="false" outlineLevel="0" collapsed="false">
      <c r="A277" s="63" t="n">
        <v>272</v>
      </c>
      <c r="B277" s="10"/>
      <c r="C277" s="10"/>
      <c r="D277" s="64" t="str">
        <f aca="false">IF(C277="","",C277&amp;"  |  BOX "&amp;COUNTIF($C$6:C277,C277)&amp;" OF "&amp;COUNTIF($C$6:$C$305,C277)&amp;IF(B277="","","  |  "&amp;B277))</f>
        <v/>
      </c>
      <c r="E277" s="10"/>
      <c r="F277" s="10"/>
      <c r="G277" s="10"/>
      <c r="H277" s="10"/>
      <c r="I277" s="10"/>
      <c r="J277" s="65" t="str">
        <f aca="false">IF(COUNT(G277:I277)=3,G277*H277*I277/1000000,"")</f>
        <v/>
      </c>
      <c r="K277" s="10"/>
      <c r="L277" s="10"/>
      <c r="M277" s="10"/>
    </row>
    <row r="278" customFormat="false" ht="15" hidden="false" customHeight="false" outlineLevel="0" collapsed="false">
      <c r="A278" s="63" t="n">
        <v>273</v>
      </c>
      <c r="B278" s="10"/>
      <c r="C278" s="10"/>
      <c r="D278" s="64" t="str">
        <f aca="false">IF(C278="","",C278&amp;"  |  BOX "&amp;COUNTIF($C$6:C278,C278)&amp;" OF "&amp;COUNTIF($C$6:$C$305,C278)&amp;IF(B278="","","  |  "&amp;B278))</f>
        <v/>
      </c>
      <c r="E278" s="10"/>
      <c r="F278" s="10"/>
      <c r="G278" s="10"/>
      <c r="H278" s="10"/>
      <c r="I278" s="10"/>
      <c r="J278" s="65" t="str">
        <f aca="false">IF(COUNT(G278:I278)=3,G278*H278*I278/1000000,"")</f>
        <v/>
      </c>
      <c r="K278" s="10"/>
      <c r="L278" s="10"/>
      <c r="M278" s="10"/>
    </row>
    <row r="279" customFormat="false" ht="15" hidden="false" customHeight="false" outlineLevel="0" collapsed="false">
      <c r="A279" s="63" t="n">
        <v>274</v>
      </c>
      <c r="B279" s="10"/>
      <c r="C279" s="10"/>
      <c r="D279" s="64" t="str">
        <f aca="false">IF(C279="","",C279&amp;"  |  BOX "&amp;COUNTIF($C$6:C279,C279)&amp;" OF "&amp;COUNTIF($C$6:$C$305,C279)&amp;IF(B279="","","  |  "&amp;B279))</f>
        <v/>
      </c>
      <c r="E279" s="10"/>
      <c r="F279" s="10"/>
      <c r="G279" s="10"/>
      <c r="H279" s="10"/>
      <c r="I279" s="10"/>
      <c r="J279" s="65" t="str">
        <f aca="false">IF(COUNT(G279:I279)=3,G279*H279*I279/1000000,"")</f>
        <v/>
      </c>
      <c r="K279" s="10"/>
      <c r="L279" s="10"/>
      <c r="M279" s="10"/>
    </row>
    <row r="280" customFormat="false" ht="15" hidden="false" customHeight="false" outlineLevel="0" collapsed="false">
      <c r="A280" s="63" t="n">
        <v>275</v>
      </c>
      <c r="B280" s="10"/>
      <c r="C280" s="10"/>
      <c r="D280" s="64" t="str">
        <f aca="false">IF(C280="","",C280&amp;"  |  BOX "&amp;COUNTIF($C$6:C280,C280)&amp;" OF "&amp;COUNTIF($C$6:$C$305,C280)&amp;IF(B280="","","  |  "&amp;B280))</f>
        <v/>
      </c>
      <c r="E280" s="10"/>
      <c r="F280" s="10"/>
      <c r="G280" s="10"/>
      <c r="H280" s="10"/>
      <c r="I280" s="10"/>
      <c r="J280" s="65" t="str">
        <f aca="false">IF(COUNT(G280:I280)=3,G280*H280*I280/1000000,"")</f>
        <v/>
      </c>
      <c r="K280" s="10"/>
      <c r="L280" s="10"/>
      <c r="M280" s="10"/>
    </row>
    <row r="281" customFormat="false" ht="15" hidden="false" customHeight="false" outlineLevel="0" collapsed="false">
      <c r="A281" s="63" t="n">
        <v>276</v>
      </c>
      <c r="B281" s="10"/>
      <c r="C281" s="10"/>
      <c r="D281" s="64" t="str">
        <f aca="false">IF(C281="","",C281&amp;"  |  BOX "&amp;COUNTIF($C$6:C281,C281)&amp;" OF "&amp;COUNTIF($C$6:$C$305,C281)&amp;IF(B281="","","  |  "&amp;B281))</f>
        <v/>
      </c>
      <c r="E281" s="10"/>
      <c r="F281" s="10"/>
      <c r="G281" s="10"/>
      <c r="H281" s="10"/>
      <c r="I281" s="10"/>
      <c r="J281" s="65" t="str">
        <f aca="false">IF(COUNT(G281:I281)=3,G281*H281*I281/1000000,"")</f>
        <v/>
      </c>
      <c r="K281" s="10"/>
      <c r="L281" s="10"/>
      <c r="M281" s="10"/>
    </row>
    <row r="282" customFormat="false" ht="15" hidden="false" customHeight="false" outlineLevel="0" collapsed="false">
      <c r="A282" s="63" t="n">
        <v>277</v>
      </c>
      <c r="B282" s="10"/>
      <c r="C282" s="10"/>
      <c r="D282" s="64" t="str">
        <f aca="false">IF(C282="","",C282&amp;"  |  BOX "&amp;COUNTIF($C$6:C282,C282)&amp;" OF "&amp;COUNTIF($C$6:$C$305,C282)&amp;IF(B282="","","  |  "&amp;B282))</f>
        <v/>
      </c>
      <c r="E282" s="10"/>
      <c r="F282" s="10"/>
      <c r="G282" s="10"/>
      <c r="H282" s="10"/>
      <c r="I282" s="10"/>
      <c r="J282" s="65" t="str">
        <f aca="false">IF(COUNT(G282:I282)=3,G282*H282*I282/1000000,"")</f>
        <v/>
      </c>
      <c r="K282" s="10"/>
      <c r="L282" s="10"/>
      <c r="M282" s="10"/>
    </row>
    <row r="283" customFormat="false" ht="15" hidden="false" customHeight="false" outlineLevel="0" collapsed="false">
      <c r="A283" s="63" t="n">
        <v>278</v>
      </c>
      <c r="B283" s="10"/>
      <c r="C283" s="10"/>
      <c r="D283" s="64" t="str">
        <f aca="false">IF(C283="","",C283&amp;"  |  BOX "&amp;COUNTIF($C$6:C283,C283)&amp;" OF "&amp;COUNTIF($C$6:$C$305,C283)&amp;IF(B283="","","  |  "&amp;B283))</f>
        <v/>
      </c>
      <c r="E283" s="10"/>
      <c r="F283" s="10"/>
      <c r="G283" s="10"/>
      <c r="H283" s="10"/>
      <c r="I283" s="10"/>
      <c r="J283" s="65" t="str">
        <f aca="false">IF(COUNT(G283:I283)=3,G283*H283*I283/1000000,"")</f>
        <v/>
      </c>
      <c r="K283" s="10"/>
      <c r="L283" s="10"/>
      <c r="M283" s="10"/>
    </row>
    <row r="284" customFormat="false" ht="15" hidden="false" customHeight="false" outlineLevel="0" collapsed="false">
      <c r="A284" s="63" t="n">
        <v>279</v>
      </c>
      <c r="B284" s="10"/>
      <c r="C284" s="10"/>
      <c r="D284" s="64" t="str">
        <f aca="false">IF(C284="","",C284&amp;"  |  BOX "&amp;COUNTIF($C$6:C284,C284)&amp;" OF "&amp;COUNTIF($C$6:$C$305,C284)&amp;IF(B284="","","  |  "&amp;B284))</f>
        <v/>
      </c>
      <c r="E284" s="10"/>
      <c r="F284" s="10"/>
      <c r="G284" s="10"/>
      <c r="H284" s="10"/>
      <c r="I284" s="10"/>
      <c r="J284" s="65" t="str">
        <f aca="false">IF(COUNT(G284:I284)=3,G284*H284*I284/1000000,"")</f>
        <v/>
      </c>
      <c r="K284" s="10"/>
      <c r="L284" s="10"/>
      <c r="M284" s="10"/>
    </row>
    <row r="285" customFormat="false" ht="15" hidden="false" customHeight="false" outlineLevel="0" collapsed="false">
      <c r="A285" s="63" t="n">
        <v>280</v>
      </c>
      <c r="B285" s="10"/>
      <c r="C285" s="10"/>
      <c r="D285" s="64" t="str">
        <f aca="false">IF(C285="","",C285&amp;"  |  BOX "&amp;COUNTIF($C$6:C285,C285)&amp;" OF "&amp;COUNTIF($C$6:$C$305,C285)&amp;IF(B285="","","  |  "&amp;B285))</f>
        <v/>
      </c>
      <c r="E285" s="10"/>
      <c r="F285" s="10"/>
      <c r="G285" s="10"/>
      <c r="H285" s="10"/>
      <c r="I285" s="10"/>
      <c r="J285" s="65" t="str">
        <f aca="false">IF(COUNT(G285:I285)=3,G285*H285*I285/1000000,"")</f>
        <v/>
      </c>
      <c r="K285" s="10"/>
      <c r="L285" s="10"/>
      <c r="M285" s="10"/>
    </row>
    <row r="286" customFormat="false" ht="15" hidden="false" customHeight="false" outlineLevel="0" collapsed="false">
      <c r="A286" s="63" t="n">
        <v>281</v>
      </c>
      <c r="B286" s="10"/>
      <c r="C286" s="10"/>
      <c r="D286" s="64" t="str">
        <f aca="false">IF(C286="","",C286&amp;"  |  BOX "&amp;COUNTIF($C$6:C286,C286)&amp;" OF "&amp;COUNTIF($C$6:$C$305,C286)&amp;IF(B286="","","  |  "&amp;B286))</f>
        <v/>
      </c>
      <c r="E286" s="10"/>
      <c r="F286" s="10"/>
      <c r="G286" s="10"/>
      <c r="H286" s="10"/>
      <c r="I286" s="10"/>
      <c r="J286" s="65" t="str">
        <f aca="false">IF(COUNT(G286:I286)=3,G286*H286*I286/1000000,"")</f>
        <v/>
      </c>
      <c r="K286" s="10"/>
      <c r="L286" s="10"/>
      <c r="M286" s="10"/>
    </row>
    <row r="287" customFormat="false" ht="15" hidden="false" customHeight="false" outlineLevel="0" collapsed="false">
      <c r="A287" s="63" t="n">
        <v>282</v>
      </c>
      <c r="B287" s="10"/>
      <c r="C287" s="10"/>
      <c r="D287" s="64" t="str">
        <f aca="false">IF(C287="","",C287&amp;"  |  BOX "&amp;COUNTIF($C$6:C287,C287)&amp;" OF "&amp;COUNTIF($C$6:$C$305,C287)&amp;IF(B287="","","  |  "&amp;B287))</f>
        <v/>
      </c>
      <c r="E287" s="10"/>
      <c r="F287" s="10"/>
      <c r="G287" s="10"/>
      <c r="H287" s="10"/>
      <c r="I287" s="10"/>
      <c r="J287" s="65" t="str">
        <f aca="false">IF(COUNT(G287:I287)=3,G287*H287*I287/1000000,"")</f>
        <v/>
      </c>
      <c r="K287" s="10"/>
      <c r="L287" s="10"/>
      <c r="M287" s="10"/>
    </row>
    <row r="288" customFormat="false" ht="15" hidden="false" customHeight="false" outlineLevel="0" collapsed="false">
      <c r="A288" s="63" t="n">
        <v>283</v>
      </c>
      <c r="B288" s="10"/>
      <c r="C288" s="10"/>
      <c r="D288" s="64" t="str">
        <f aca="false">IF(C288="","",C288&amp;"  |  BOX "&amp;COUNTIF($C$6:C288,C288)&amp;" OF "&amp;COUNTIF($C$6:$C$305,C288)&amp;IF(B288="","","  |  "&amp;B288))</f>
        <v/>
      </c>
      <c r="E288" s="10"/>
      <c r="F288" s="10"/>
      <c r="G288" s="10"/>
      <c r="H288" s="10"/>
      <c r="I288" s="10"/>
      <c r="J288" s="65" t="str">
        <f aca="false">IF(COUNT(G288:I288)=3,G288*H288*I288/1000000,"")</f>
        <v/>
      </c>
      <c r="K288" s="10"/>
      <c r="L288" s="10"/>
      <c r="M288" s="10"/>
    </row>
    <row r="289" customFormat="false" ht="15" hidden="false" customHeight="false" outlineLevel="0" collapsed="false">
      <c r="A289" s="63" t="n">
        <v>284</v>
      </c>
      <c r="B289" s="10"/>
      <c r="C289" s="10"/>
      <c r="D289" s="64" t="str">
        <f aca="false">IF(C289="","",C289&amp;"  |  BOX "&amp;COUNTIF($C$6:C289,C289)&amp;" OF "&amp;COUNTIF($C$6:$C$305,C289)&amp;IF(B289="","","  |  "&amp;B289))</f>
        <v/>
      </c>
      <c r="E289" s="10"/>
      <c r="F289" s="10"/>
      <c r="G289" s="10"/>
      <c r="H289" s="10"/>
      <c r="I289" s="10"/>
      <c r="J289" s="65" t="str">
        <f aca="false">IF(COUNT(G289:I289)=3,G289*H289*I289/1000000,"")</f>
        <v/>
      </c>
      <c r="K289" s="10"/>
      <c r="L289" s="10"/>
      <c r="M289" s="10"/>
    </row>
    <row r="290" customFormat="false" ht="15" hidden="false" customHeight="false" outlineLevel="0" collapsed="false">
      <c r="A290" s="63" t="n">
        <v>285</v>
      </c>
      <c r="B290" s="10"/>
      <c r="C290" s="10"/>
      <c r="D290" s="64" t="str">
        <f aca="false">IF(C290="","",C290&amp;"  |  BOX "&amp;COUNTIF($C$6:C290,C290)&amp;" OF "&amp;COUNTIF($C$6:$C$305,C290)&amp;IF(B290="","","  |  "&amp;B290))</f>
        <v/>
      </c>
      <c r="E290" s="10"/>
      <c r="F290" s="10"/>
      <c r="G290" s="10"/>
      <c r="H290" s="10"/>
      <c r="I290" s="10"/>
      <c r="J290" s="65" t="str">
        <f aca="false">IF(COUNT(G290:I290)=3,G290*H290*I290/1000000,"")</f>
        <v/>
      </c>
      <c r="K290" s="10"/>
      <c r="L290" s="10"/>
      <c r="M290" s="10"/>
    </row>
    <row r="291" customFormat="false" ht="15" hidden="false" customHeight="false" outlineLevel="0" collapsed="false">
      <c r="A291" s="63" t="n">
        <v>286</v>
      </c>
      <c r="B291" s="10"/>
      <c r="C291" s="10"/>
      <c r="D291" s="64" t="str">
        <f aca="false">IF(C291="","",C291&amp;"  |  BOX "&amp;COUNTIF($C$6:C291,C291)&amp;" OF "&amp;COUNTIF($C$6:$C$305,C291)&amp;IF(B291="","","  |  "&amp;B291))</f>
        <v/>
      </c>
      <c r="E291" s="10"/>
      <c r="F291" s="10"/>
      <c r="G291" s="10"/>
      <c r="H291" s="10"/>
      <c r="I291" s="10"/>
      <c r="J291" s="65" t="str">
        <f aca="false">IF(COUNT(G291:I291)=3,G291*H291*I291/1000000,"")</f>
        <v/>
      </c>
      <c r="K291" s="10"/>
      <c r="L291" s="10"/>
      <c r="M291" s="10"/>
    </row>
    <row r="292" customFormat="false" ht="15" hidden="false" customHeight="false" outlineLevel="0" collapsed="false">
      <c r="A292" s="63" t="n">
        <v>287</v>
      </c>
      <c r="B292" s="10"/>
      <c r="C292" s="10"/>
      <c r="D292" s="64" t="str">
        <f aca="false">IF(C292="","",C292&amp;"  |  BOX "&amp;COUNTIF($C$6:C292,C292)&amp;" OF "&amp;COUNTIF($C$6:$C$305,C292)&amp;IF(B292="","","  |  "&amp;B292))</f>
        <v/>
      </c>
      <c r="E292" s="10"/>
      <c r="F292" s="10"/>
      <c r="G292" s="10"/>
      <c r="H292" s="10"/>
      <c r="I292" s="10"/>
      <c r="J292" s="65" t="str">
        <f aca="false">IF(COUNT(G292:I292)=3,G292*H292*I292/1000000,"")</f>
        <v/>
      </c>
      <c r="K292" s="10"/>
      <c r="L292" s="10"/>
      <c r="M292" s="10"/>
    </row>
    <row r="293" customFormat="false" ht="15" hidden="false" customHeight="false" outlineLevel="0" collapsed="false">
      <c r="A293" s="63" t="n">
        <v>288</v>
      </c>
      <c r="B293" s="10"/>
      <c r="C293" s="10"/>
      <c r="D293" s="64" t="str">
        <f aca="false">IF(C293="","",C293&amp;"  |  BOX "&amp;COUNTIF($C$6:C293,C293)&amp;" OF "&amp;COUNTIF($C$6:$C$305,C293)&amp;IF(B293="","","  |  "&amp;B293))</f>
        <v/>
      </c>
      <c r="E293" s="10"/>
      <c r="F293" s="10"/>
      <c r="G293" s="10"/>
      <c r="H293" s="10"/>
      <c r="I293" s="10"/>
      <c r="J293" s="65" t="str">
        <f aca="false">IF(COUNT(G293:I293)=3,G293*H293*I293/1000000,"")</f>
        <v/>
      </c>
      <c r="K293" s="10"/>
      <c r="L293" s="10"/>
      <c r="M293" s="10"/>
    </row>
    <row r="294" customFormat="false" ht="15" hidden="false" customHeight="false" outlineLevel="0" collapsed="false">
      <c r="A294" s="63" t="n">
        <v>289</v>
      </c>
      <c r="B294" s="10"/>
      <c r="C294" s="10"/>
      <c r="D294" s="64" t="str">
        <f aca="false">IF(C294="","",C294&amp;"  |  BOX "&amp;COUNTIF($C$6:C294,C294)&amp;" OF "&amp;COUNTIF($C$6:$C$305,C294)&amp;IF(B294="","","  |  "&amp;B294))</f>
        <v/>
      </c>
      <c r="E294" s="10"/>
      <c r="F294" s="10"/>
      <c r="G294" s="10"/>
      <c r="H294" s="10"/>
      <c r="I294" s="10"/>
      <c r="J294" s="65" t="str">
        <f aca="false">IF(COUNT(G294:I294)=3,G294*H294*I294/1000000,"")</f>
        <v/>
      </c>
      <c r="K294" s="10"/>
      <c r="L294" s="10"/>
      <c r="M294" s="10"/>
    </row>
    <row r="295" customFormat="false" ht="15" hidden="false" customHeight="false" outlineLevel="0" collapsed="false">
      <c r="A295" s="63" t="n">
        <v>290</v>
      </c>
      <c r="B295" s="10"/>
      <c r="C295" s="10"/>
      <c r="D295" s="64" t="str">
        <f aca="false">IF(C295="","",C295&amp;"  |  BOX "&amp;COUNTIF($C$6:C295,C295)&amp;" OF "&amp;COUNTIF($C$6:$C$305,C295)&amp;IF(B295="","","  |  "&amp;B295))</f>
        <v/>
      </c>
      <c r="E295" s="10"/>
      <c r="F295" s="10"/>
      <c r="G295" s="10"/>
      <c r="H295" s="10"/>
      <c r="I295" s="10"/>
      <c r="J295" s="65" t="str">
        <f aca="false">IF(COUNT(G295:I295)=3,G295*H295*I295/1000000,"")</f>
        <v/>
      </c>
      <c r="K295" s="10"/>
      <c r="L295" s="10"/>
      <c r="M295" s="10"/>
    </row>
    <row r="296" customFormat="false" ht="15" hidden="false" customHeight="false" outlineLevel="0" collapsed="false">
      <c r="A296" s="63" t="n">
        <v>291</v>
      </c>
      <c r="B296" s="10"/>
      <c r="C296" s="10"/>
      <c r="D296" s="64" t="str">
        <f aca="false">IF(C296="","",C296&amp;"  |  BOX "&amp;COUNTIF($C$6:C296,C296)&amp;" OF "&amp;COUNTIF($C$6:$C$305,C296)&amp;IF(B296="","","  |  "&amp;B296))</f>
        <v/>
      </c>
      <c r="E296" s="10"/>
      <c r="F296" s="10"/>
      <c r="G296" s="10"/>
      <c r="H296" s="10"/>
      <c r="I296" s="10"/>
      <c r="J296" s="65" t="str">
        <f aca="false">IF(COUNT(G296:I296)=3,G296*H296*I296/1000000,"")</f>
        <v/>
      </c>
      <c r="K296" s="10"/>
      <c r="L296" s="10"/>
      <c r="M296" s="10"/>
    </row>
    <row r="297" customFormat="false" ht="15" hidden="false" customHeight="false" outlineLevel="0" collapsed="false">
      <c r="A297" s="63" t="n">
        <v>292</v>
      </c>
      <c r="B297" s="10"/>
      <c r="C297" s="10"/>
      <c r="D297" s="64" t="str">
        <f aca="false">IF(C297="","",C297&amp;"  |  BOX "&amp;COUNTIF($C$6:C297,C297)&amp;" OF "&amp;COUNTIF($C$6:$C$305,C297)&amp;IF(B297="","","  |  "&amp;B297))</f>
        <v/>
      </c>
      <c r="E297" s="10"/>
      <c r="F297" s="10"/>
      <c r="G297" s="10"/>
      <c r="H297" s="10"/>
      <c r="I297" s="10"/>
      <c r="J297" s="65" t="str">
        <f aca="false">IF(COUNT(G297:I297)=3,G297*H297*I297/1000000,"")</f>
        <v/>
      </c>
      <c r="K297" s="10"/>
      <c r="L297" s="10"/>
      <c r="M297" s="10"/>
    </row>
    <row r="298" customFormat="false" ht="15" hidden="false" customHeight="false" outlineLevel="0" collapsed="false">
      <c r="A298" s="63" t="n">
        <v>293</v>
      </c>
      <c r="B298" s="10"/>
      <c r="C298" s="10"/>
      <c r="D298" s="64" t="str">
        <f aca="false">IF(C298="","",C298&amp;"  |  BOX "&amp;COUNTIF($C$6:C298,C298)&amp;" OF "&amp;COUNTIF($C$6:$C$305,C298)&amp;IF(B298="","","  |  "&amp;B298))</f>
        <v/>
      </c>
      <c r="E298" s="10"/>
      <c r="F298" s="10"/>
      <c r="G298" s="10"/>
      <c r="H298" s="10"/>
      <c r="I298" s="10"/>
      <c r="J298" s="65" t="str">
        <f aca="false">IF(COUNT(G298:I298)=3,G298*H298*I298/1000000,"")</f>
        <v/>
      </c>
      <c r="K298" s="10"/>
      <c r="L298" s="10"/>
      <c r="M298" s="10"/>
    </row>
    <row r="299" customFormat="false" ht="15" hidden="false" customHeight="false" outlineLevel="0" collapsed="false">
      <c r="A299" s="63" t="n">
        <v>294</v>
      </c>
      <c r="B299" s="10"/>
      <c r="C299" s="10"/>
      <c r="D299" s="64" t="str">
        <f aca="false">IF(C299="","",C299&amp;"  |  BOX "&amp;COUNTIF($C$6:C299,C299)&amp;" OF "&amp;COUNTIF($C$6:$C$305,C299)&amp;IF(B299="","","  |  "&amp;B299))</f>
        <v/>
      </c>
      <c r="E299" s="10"/>
      <c r="F299" s="10"/>
      <c r="G299" s="10"/>
      <c r="H299" s="10"/>
      <c r="I299" s="10"/>
      <c r="J299" s="65" t="str">
        <f aca="false">IF(COUNT(G299:I299)=3,G299*H299*I299/1000000,"")</f>
        <v/>
      </c>
      <c r="K299" s="10"/>
      <c r="L299" s="10"/>
      <c r="M299" s="10"/>
    </row>
    <row r="300" customFormat="false" ht="15" hidden="false" customHeight="false" outlineLevel="0" collapsed="false">
      <c r="A300" s="63" t="n">
        <v>295</v>
      </c>
      <c r="B300" s="10"/>
      <c r="C300" s="10"/>
      <c r="D300" s="64" t="str">
        <f aca="false">IF(C300="","",C300&amp;"  |  BOX "&amp;COUNTIF($C$6:C300,C300)&amp;" OF "&amp;COUNTIF($C$6:$C$305,C300)&amp;IF(B300="","","  |  "&amp;B300))</f>
        <v/>
      </c>
      <c r="E300" s="10"/>
      <c r="F300" s="10"/>
      <c r="G300" s="10"/>
      <c r="H300" s="10"/>
      <c r="I300" s="10"/>
      <c r="J300" s="65" t="str">
        <f aca="false">IF(COUNT(G300:I300)=3,G300*H300*I300/1000000,"")</f>
        <v/>
      </c>
      <c r="K300" s="10"/>
      <c r="L300" s="10"/>
      <c r="M300" s="10"/>
    </row>
    <row r="301" customFormat="false" ht="15" hidden="false" customHeight="false" outlineLevel="0" collapsed="false">
      <c r="A301" s="63" t="n">
        <v>296</v>
      </c>
      <c r="B301" s="10"/>
      <c r="C301" s="10"/>
      <c r="D301" s="64" t="str">
        <f aca="false">IF(C301="","",C301&amp;"  |  BOX "&amp;COUNTIF($C$6:C301,C301)&amp;" OF "&amp;COUNTIF($C$6:$C$305,C301)&amp;IF(B301="","","  |  "&amp;B301))</f>
        <v/>
      </c>
      <c r="E301" s="10"/>
      <c r="F301" s="10"/>
      <c r="G301" s="10"/>
      <c r="H301" s="10"/>
      <c r="I301" s="10"/>
      <c r="J301" s="65" t="str">
        <f aca="false">IF(COUNT(G301:I301)=3,G301*H301*I301/1000000,"")</f>
        <v/>
      </c>
      <c r="K301" s="10"/>
      <c r="L301" s="10"/>
      <c r="M301" s="10"/>
    </row>
    <row r="302" customFormat="false" ht="15" hidden="false" customHeight="false" outlineLevel="0" collapsed="false">
      <c r="A302" s="63" t="n">
        <v>297</v>
      </c>
      <c r="B302" s="10"/>
      <c r="C302" s="10"/>
      <c r="D302" s="64" t="str">
        <f aca="false">IF(C302="","",C302&amp;"  |  BOX "&amp;COUNTIF($C$6:C302,C302)&amp;" OF "&amp;COUNTIF($C$6:$C$305,C302)&amp;IF(B302="","","  |  "&amp;B302))</f>
        <v/>
      </c>
      <c r="E302" s="10"/>
      <c r="F302" s="10"/>
      <c r="G302" s="10"/>
      <c r="H302" s="10"/>
      <c r="I302" s="10"/>
      <c r="J302" s="65" t="str">
        <f aca="false">IF(COUNT(G302:I302)=3,G302*H302*I302/1000000,"")</f>
        <v/>
      </c>
      <c r="K302" s="10"/>
      <c r="L302" s="10"/>
      <c r="M302" s="10"/>
    </row>
    <row r="303" customFormat="false" ht="15" hidden="false" customHeight="false" outlineLevel="0" collapsed="false">
      <c r="A303" s="63" t="n">
        <v>298</v>
      </c>
      <c r="B303" s="10"/>
      <c r="C303" s="10"/>
      <c r="D303" s="64" t="str">
        <f aca="false">IF(C303="","",C303&amp;"  |  BOX "&amp;COUNTIF($C$6:C303,C303)&amp;" OF "&amp;COUNTIF($C$6:$C$305,C303)&amp;IF(B303="","","  |  "&amp;B303))</f>
        <v/>
      </c>
      <c r="E303" s="10"/>
      <c r="F303" s="10"/>
      <c r="G303" s="10"/>
      <c r="H303" s="10"/>
      <c r="I303" s="10"/>
      <c r="J303" s="65" t="str">
        <f aca="false">IF(COUNT(G303:I303)=3,G303*H303*I303/1000000,"")</f>
        <v/>
      </c>
      <c r="K303" s="10"/>
      <c r="L303" s="10"/>
      <c r="M303" s="10"/>
    </row>
    <row r="304" customFormat="false" ht="15" hidden="false" customHeight="false" outlineLevel="0" collapsed="false">
      <c r="A304" s="63" t="n">
        <v>299</v>
      </c>
      <c r="B304" s="10"/>
      <c r="C304" s="10"/>
      <c r="D304" s="64" t="str">
        <f aca="false">IF(C304="","",C304&amp;"  |  BOX "&amp;COUNTIF($C$6:C304,C304)&amp;" OF "&amp;COUNTIF($C$6:$C$305,C304)&amp;IF(B304="","","  |  "&amp;B304))</f>
        <v/>
      </c>
      <c r="E304" s="10"/>
      <c r="F304" s="10"/>
      <c r="G304" s="10"/>
      <c r="H304" s="10"/>
      <c r="I304" s="10"/>
      <c r="J304" s="65" t="str">
        <f aca="false">IF(COUNT(G304:I304)=3,G304*H304*I304/1000000,"")</f>
        <v/>
      </c>
      <c r="K304" s="10"/>
      <c r="L304" s="10"/>
      <c r="M304" s="10"/>
    </row>
    <row r="305" customFormat="false" ht="15" hidden="false" customHeight="false" outlineLevel="0" collapsed="false">
      <c r="A305" s="63" t="n">
        <v>300</v>
      </c>
      <c r="B305" s="10"/>
      <c r="C305" s="10"/>
      <c r="D305" s="64" t="str">
        <f aca="false">IF(C305="","",C305&amp;"  |  BOX "&amp;COUNTIF($C$6:C305,C305)&amp;" OF "&amp;COUNTIF($C$6:$C$305,C305)&amp;IF(B305="","","  |  "&amp;B305))</f>
        <v/>
      </c>
      <c r="E305" s="10"/>
      <c r="F305" s="10"/>
      <c r="G305" s="10"/>
      <c r="H305" s="10"/>
      <c r="I305" s="10"/>
      <c r="J305" s="65" t="str">
        <f aca="false">IF(COUNT(G305:I305)=3,G305*H305*I305/1000000,"")</f>
        <v/>
      </c>
      <c r="K305" s="10"/>
      <c r="L305" s="10"/>
      <c r="M305" s="10"/>
    </row>
  </sheetData>
  <autoFilter ref="A5:M305"/>
  <conditionalFormatting sqref="L6:L305">
    <cfRule type="cellIs" priority="2" operator="equal" aboveAverage="0" equalAverage="0" bottom="0" percent="0" rank="0" text="" dxfId="31">
      <formula>"Y"</formula>
    </cfRule>
  </conditionalFormatting>
  <dataValidations count="2">
    <dataValidation allowBlank="true" errorStyle="stop" operator="between" showDropDown="false" showErrorMessage="false" showInputMessage="false" sqref="C6:C305" type="list">
      <formula1>Rooms!$A$5:$A$47</formula1>
      <formula2>0</formula2>
    </dataValidation>
    <dataValidation allowBlank="true" errorStyle="stop" operator="between" showDropDown="false" showErrorMessage="false" showInputMessage="false" sqref="L6:L305" type="list">
      <formula1>Lists!$D$2:$D$3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227"/>
    <pageSetUpPr fitToPage="false"/>
  </sheetPr>
  <dimension ref="A1:B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5"/>
  </cols>
  <sheetData>
    <row r="1" customFormat="false" ht="18.55" hidden="false" customHeight="false" outlineLevel="0" collapsed="false">
      <c r="A1" s="37" t="s">
        <v>789</v>
      </c>
    </row>
    <row r="3" customFormat="false" ht="15" hidden="false" customHeight="false" outlineLevel="0" collapsed="false">
      <c r="A3" s="3" t="s">
        <v>790</v>
      </c>
      <c r="B3" s="4"/>
    </row>
    <row r="4" customFormat="false" ht="45" hidden="false" customHeight="true" outlineLevel="0" collapsed="false">
      <c r="A4" s="66" t="s">
        <v>791</v>
      </c>
      <c r="B4" s="67" t="s">
        <v>792</v>
      </c>
    </row>
    <row r="5" customFormat="false" ht="30" hidden="false" customHeight="true" outlineLevel="0" collapsed="false">
      <c r="A5" s="66" t="s">
        <v>793</v>
      </c>
      <c r="B5" s="67" t="s">
        <v>794</v>
      </c>
    </row>
    <row r="6" customFormat="false" ht="30" hidden="false" customHeight="true" outlineLevel="0" collapsed="false">
      <c r="A6" s="66" t="s">
        <v>795</v>
      </c>
      <c r="B6" s="67" t="s">
        <v>796</v>
      </c>
    </row>
    <row r="7" customFormat="false" ht="15" hidden="false" customHeight="false" outlineLevel="0" collapsed="false">
      <c r="A7" s="3" t="s">
        <v>797</v>
      </c>
      <c r="B7" s="4"/>
    </row>
    <row r="8" customFormat="false" ht="45" hidden="false" customHeight="true" outlineLevel="0" collapsed="false">
      <c r="A8" s="66" t="s">
        <v>798</v>
      </c>
      <c r="B8" s="67" t="s">
        <v>799</v>
      </c>
    </row>
    <row r="9" customFormat="false" ht="30" hidden="false" customHeight="true" outlineLevel="0" collapsed="false">
      <c r="A9" s="66" t="s">
        <v>800</v>
      </c>
      <c r="B9" s="67" t="s">
        <v>801</v>
      </c>
    </row>
    <row r="10" customFormat="false" ht="45" hidden="false" customHeight="true" outlineLevel="0" collapsed="false">
      <c r="A10" s="66" t="s">
        <v>802</v>
      </c>
      <c r="B10" s="67" t="s">
        <v>803</v>
      </c>
    </row>
    <row r="11" customFormat="false" ht="45" hidden="false" customHeight="true" outlineLevel="0" collapsed="false">
      <c r="A11" s="66" t="s">
        <v>804</v>
      </c>
      <c r="B11" s="67" t="s">
        <v>805</v>
      </c>
    </row>
    <row r="12" customFormat="false" ht="45" hidden="false" customHeight="true" outlineLevel="0" collapsed="false">
      <c r="A12" s="66" t="s">
        <v>806</v>
      </c>
      <c r="B12" s="67" t="s">
        <v>807</v>
      </c>
    </row>
    <row r="13" customFormat="false" ht="45" hidden="false" customHeight="true" outlineLevel="0" collapsed="false">
      <c r="A13" s="66" t="s">
        <v>808</v>
      </c>
      <c r="B13" s="67" t="s">
        <v>809</v>
      </c>
    </row>
    <row r="14" customFormat="false" ht="45" hidden="false" customHeight="true" outlineLevel="0" collapsed="false">
      <c r="A14" s="66" t="s">
        <v>810</v>
      </c>
      <c r="B14" s="67" t="s">
        <v>811</v>
      </c>
    </row>
    <row r="15" customFormat="false" ht="30" hidden="false" customHeight="true" outlineLevel="0" collapsed="false">
      <c r="A15" s="66" t="s">
        <v>812</v>
      </c>
      <c r="B15" s="67" t="s">
        <v>813</v>
      </c>
    </row>
    <row r="16" customFormat="false" ht="45" hidden="false" customHeight="true" outlineLevel="0" collapsed="false">
      <c r="A16" s="66" t="s">
        <v>814</v>
      </c>
      <c r="B16" s="67" t="s">
        <v>815</v>
      </c>
    </row>
    <row r="17" customFormat="false" ht="15" hidden="false" customHeight="false" outlineLevel="0" collapsed="false">
      <c r="A17" s="3" t="s">
        <v>816</v>
      </c>
      <c r="B17" s="4"/>
    </row>
    <row r="18" customFormat="false" ht="45" hidden="false" customHeight="true" outlineLevel="0" collapsed="false">
      <c r="A18" s="66" t="s">
        <v>817</v>
      </c>
      <c r="B18" s="67" t="s">
        <v>818</v>
      </c>
    </row>
    <row r="19" customFormat="false" ht="60" hidden="false" customHeight="true" outlineLevel="0" collapsed="false">
      <c r="A19" s="66" t="s">
        <v>819</v>
      </c>
      <c r="B19" s="67" t="s">
        <v>820</v>
      </c>
    </row>
    <row r="20" customFormat="false" ht="45" hidden="false" customHeight="true" outlineLevel="0" collapsed="false">
      <c r="A20" s="66" t="s">
        <v>821</v>
      </c>
      <c r="B20" s="67" t="s">
        <v>822</v>
      </c>
    </row>
    <row r="21" customFormat="false" ht="15" hidden="false" customHeight="false" outlineLevel="0" collapsed="false">
      <c r="A21" s="3" t="s">
        <v>823</v>
      </c>
      <c r="B21" s="4"/>
    </row>
    <row r="22" customFormat="false" ht="30" hidden="false" customHeight="true" outlineLevel="0" collapsed="false">
      <c r="A22" s="66" t="s">
        <v>824</v>
      </c>
      <c r="B22" s="67" t="s">
        <v>825</v>
      </c>
    </row>
    <row r="23" customFormat="false" ht="45" hidden="false" customHeight="true" outlineLevel="0" collapsed="false">
      <c r="A23" s="66" t="s">
        <v>826</v>
      </c>
      <c r="B23" s="67" t="s">
        <v>827</v>
      </c>
    </row>
    <row r="24" customFormat="false" ht="15" hidden="false" customHeight="false" outlineLevel="0" collapsed="false">
      <c r="A24" s="3" t="s">
        <v>828</v>
      </c>
      <c r="B24" s="4"/>
    </row>
    <row r="25" customFormat="false" ht="60" hidden="false" customHeight="true" outlineLevel="0" collapsed="false">
      <c r="A25" s="66" t="s">
        <v>829</v>
      </c>
      <c r="B25" s="67" t="s">
        <v>830</v>
      </c>
    </row>
    <row r="26" customFormat="false" ht="30" hidden="false" customHeight="true" outlineLevel="0" collapsed="false">
      <c r="A26" s="66" t="s">
        <v>831</v>
      </c>
      <c r="B26" s="67" t="s">
        <v>832</v>
      </c>
    </row>
    <row r="27" customFormat="false" ht="45" hidden="false" customHeight="true" outlineLevel="0" collapsed="false">
      <c r="A27" s="66" t="s">
        <v>833</v>
      </c>
      <c r="B27" s="67" t="s">
        <v>834</v>
      </c>
    </row>
    <row r="28" customFormat="false" ht="15" hidden="false" customHeight="false" outlineLevel="0" collapsed="false">
      <c r="A28" s="3" t="s">
        <v>835</v>
      </c>
      <c r="B28" s="4"/>
    </row>
    <row r="29" customFormat="false" ht="45" hidden="false" customHeight="true" outlineLevel="0" collapsed="false">
      <c r="A29" s="66" t="s">
        <v>836</v>
      </c>
      <c r="B29" s="67" t="s">
        <v>837</v>
      </c>
    </row>
    <row r="30" customFormat="false" ht="45" hidden="false" customHeight="true" outlineLevel="0" collapsed="false">
      <c r="A30" s="66" t="s">
        <v>838</v>
      </c>
      <c r="B30" s="67" t="s">
        <v>839</v>
      </c>
    </row>
    <row r="31" customFormat="false" ht="15" hidden="false" customHeight="false" outlineLevel="0" collapsed="false">
      <c r="A31" s="3" t="s">
        <v>840</v>
      </c>
      <c r="B31" s="4"/>
    </row>
    <row r="32" customFormat="false" ht="45" hidden="false" customHeight="true" outlineLevel="0" collapsed="false">
      <c r="A32" s="66" t="s">
        <v>841</v>
      </c>
      <c r="B32" s="67" t="s">
        <v>842</v>
      </c>
    </row>
    <row r="33" customFormat="false" ht="30" hidden="false" customHeight="true" outlineLevel="0" collapsed="false">
      <c r="A33" s="66" t="s">
        <v>843</v>
      </c>
      <c r="B33" s="67" t="s">
        <v>844</v>
      </c>
    </row>
    <row r="34" customFormat="false" ht="30" hidden="false" customHeight="true" outlineLevel="0" collapsed="false">
      <c r="A34" s="66" t="s">
        <v>845</v>
      </c>
      <c r="B34" s="67" t="s">
        <v>846</v>
      </c>
    </row>
    <row r="35" customFormat="false" ht="15" hidden="false" customHeight="false" outlineLevel="0" collapsed="false">
      <c r="A35" s="3" t="s">
        <v>847</v>
      </c>
      <c r="B35" s="4"/>
    </row>
    <row r="36" customFormat="false" ht="60" hidden="false" customHeight="true" outlineLevel="0" collapsed="false">
      <c r="A36" s="66" t="s">
        <v>848</v>
      </c>
      <c r="B36" s="67" t="s">
        <v>849</v>
      </c>
    </row>
    <row r="37" customFormat="false" ht="30" hidden="false" customHeight="true" outlineLevel="0" collapsed="false">
      <c r="A37" s="66" t="s">
        <v>850</v>
      </c>
      <c r="B37" s="67" t="s">
        <v>851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48</v>
      </c>
      <c r="B1" s="0" t="s">
        <v>56</v>
      </c>
      <c r="C1" s="0" t="s">
        <v>53</v>
      </c>
      <c r="D1" s="0" t="s">
        <v>852</v>
      </c>
      <c r="E1" s="0" t="s">
        <v>853</v>
      </c>
      <c r="F1" s="0" t="s">
        <v>854</v>
      </c>
    </row>
    <row r="2" customFormat="false" ht="15" hidden="false" customHeight="false" outlineLevel="0" collapsed="false">
      <c r="A2" s="0" t="s">
        <v>61</v>
      </c>
      <c r="B2" s="0" t="s">
        <v>66</v>
      </c>
      <c r="C2" s="0" t="s">
        <v>117</v>
      </c>
      <c r="D2" s="0" t="s">
        <v>855</v>
      </c>
      <c r="E2" s="0" t="s">
        <v>732</v>
      </c>
      <c r="F2" s="0" t="s">
        <v>734</v>
      </c>
    </row>
    <row r="3" customFormat="false" ht="15" hidden="false" customHeight="false" outlineLevel="0" collapsed="false">
      <c r="A3" s="0" t="s">
        <v>187</v>
      </c>
      <c r="B3" s="0" t="s">
        <v>856</v>
      </c>
      <c r="C3" s="0" t="s">
        <v>191</v>
      </c>
      <c r="D3" s="0" t="s">
        <v>787</v>
      </c>
      <c r="E3" s="0" t="s">
        <v>753</v>
      </c>
      <c r="F3" s="0" t="s">
        <v>739</v>
      </c>
    </row>
    <row r="4" customFormat="false" ht="15" hidden="false" customHeight="false" outlineLevel="0" collapsed="false">
      <c r="A4" s="0" t="s">
        <v>307</v>
      </c>
      <c r="B4" s="0" t="s">
        <v>857</v>
      </c>
      <c r="C4" s="0" t="s">
        <v>65</v>
      </c>
      <c r="E4" s="0" t="s">
        <v>747</v>
      </c>
    </row>
    <row r="5" customFormat="false" ht="15" hidden="false" customHeight="false" outlineLevel="0" collapsed="false">
      <c r="A5" s="0" t="s">
        <v>354</v>
      </c>
      <c r="B5" s="0" t="s">
        <v>858</v>
      </c>
      <c r="C5" s="0" t="s">
        <v>184</v>
      </c>
      <c r="E5" s="0" t="s">
        <v>750</v>
      </c>
    </row>
    <row r="6" customFormat="false" ht="15" hidden="false" customHeight="false" outlineLevel="0" collapsed="false">
      <c r="A6" s="0" t="s">
        <v>379</v>
      </c>
      <c r="B6" s="0" t="s">
        <v>35</v>
      </c>
      <c r="C6" s="0" t="s">
        <v>326</v>
      </c>
      <c r="E6" s="0" t="s">
        <v>743</v>
      </c>
    </row>
    <row r="7" customFormat="false" ht="15" hidden="false" customHeight="false" outlineLevel="0" collapsed="false">
      <c r="A7" s="0" t="s">
        <v>416</v>
      </c>
      <c r="E7" s="0" t="s">
        <v>737</v>
      </c>
    </row>
    <row r="8" customFormat="false" ht="15" hidden="false" customHeight="false" outlineLevel="0" collapsed="false">
      <c r="A8" s="0" t="s">
        <v>488</v>
      </c>
    </row>
    <row r="9" customFormat="false" ht="15" hidden="false" customHeight="false" outlineLevel="0" collapsed="false">
      <c r="A9" s="0" t="s">
        <v>548</v>
      </c>
    </row>
    <row r="10" customFormat="false" ht="15" hidden="false" customHeight="false" outlineLevel="0" collapsed="false">
      <c r="A10" s="0" t="s">
        <v>565</v>
      </c>
    </row>
    <row r="11" customFormat="false" ht="15" hidden="false" customHeight="false" outlineLevel="0" collapsed="false">
      <c r="A11" s="0" t="s">
        <v>588</v>
      </c>
    </row>
    <row r="12" customFormat="false" ht="15" hidden="false" customHeight="false" outlineLevel="0" collapsed="false">
      <c r="A12" s="0" t="s">
        <v>626</v>
      </c>
    </row>
    <row r="13" customFormat="false" ht="15" hidden="false" customHeight="false" outlineLevel="0" collapsed="false">
      <c r="A13" s="0" t="s">
        <v>664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2026-10-05T16:51:16Z</dcterms:created>
  <dc:creator>openpyxl</dc:creator>
  <dc:description/>
  <dc:language>en-US</dc:language>
  <cp:lastModifiedBy/>
  <dcterms:modified xsi:type="dcterms:W3CDTF">2026-10-05T16:51:16Z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